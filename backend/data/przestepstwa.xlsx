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 filterPrivacy="1" codeName="Ten_skoroszyt" hidePivotFieldList="1"/>
  <xr:revisionPtr revIDLastSave="0" documentId="8_{9655415E-4EA7-433A-AB33-274BE35D7FB0}" xr6:coauthVersionLast="47" xr6:coauthVersionMax="47" xr10:uidLastSave="{00000000-0000-0000-0000-000000000000}"/>
  <bookViews>
    <workbookView xWindow="-120" yWindow="-120" windowWidth="29040" windowHeight="15840" tabRatio="638" firstSheet="5" activeTab="5" xr2:uid="{00000000-000D-0000-FFFF-FFFF00000000}"/>
  </bookViews>
  <sheets>
    <sheet name="UWAGA" sheetId="30" r:id="rId1"/>
    <sheet name="Przestęsptwa 2020" sheetId="31" r:id="rId2"/>
    <sheet name="Przestępstwa 2019" sheetId="29" r:id="rId3"/>
    <sheet name="Przestęsptwa 2021" sheetId="32" r:id="rId4"/>
    <sheet name="Przestęsptwa 2022" sheetId="33" r:id="rId5"/>
    <sheet name="Przestęsptwa 2023" sheetId="34" r:id="rId6"/>
  </sheets>
  <definedNames>
    <definedName name="_xlnm._FilterDatabase" localSheetId="2" hidden="1">'Przestępstwa 2019'!$A$87:$B$87</definedName>
    <definedName name="_xlnm._FilterDatabase" localSheetId="1" hidden="1">'Przestęsptwa 2020'!$A$2:$E$42</definedName>
    <definedName name="_xlnm._FilterDatabase" localSheetId="3" hidden="1">'Przestęsptwa 2021'!$A$2:$E$42</definedName>
    <definedName name="_xlnm._FilterDatabase" localSheetId="4" hidden="1">'Przestęsptwa 2022'!$A$2:$E$42</definedName>
    <definedName name="_xlnm._FilterDatabase" localSheetId="5" hidden="1">'Przestęsptwa 2023'!$A$2:$E$42</definedName>
    <definedName name="_xlnm._FilterDatabase" localSheetId="0" hidden="1">UWAGA!#REF!</definedName>
    <definedName name="_xlnm.Print_Area" localSheetId="2">'Przestępstwa 2019'!$A$2:$L$125</definedName>
    <definedName name="_xlnm.Print_Area" localSheetId="1">'Przestęsptwa 2020'!$A$2:$K$125</definedName>
    <definedName name="_xlnm.Print_Area" localSheetId="3">'Przestęsptwa 2021'!$A$2:$K$125</definedName>
    <definedName name="_xlnm.Print_Area" localSheetId="4">'Przestęsptwa 2022'!$A$2:$K$124</definedName>
    <definedName name="_xlnm.Print_Area" localSheetId="5">'Przestęsptwa 2023'!$A$2:$K$124</definedName>
    <definedName name="_xlnm.Print_Area" localSheetId="0">UWAGA!$A$1:$A$2</definedName>
    <definedName name="_xlnm.Extract" localSheetId="2">'Przestępstwa 2019'!#REF!</definedName>
    <definedName name="_xlnm.Extract" localSheetId="1">'Przestęsptwa 2020'!#REF!</definedName>
    <definedName name="_xlnm.Extract" localSheetId="3">'Przestęsptwa 2021'!#REF!</definedName>
    <definedName name="_xlnm.Extract" localSheetId="4">'Przestęsptwa 2022'!#REF!</definedName>
    <definedName name="_xlnm.Extract" localSheetId="5">'Przestęsptwa 2023'!#REF!</definedName>
    <definedName name="_xlnm.Extract" localSheetId="0">UWAGA!#REF!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2" i="34" l="1"/>
  <c r="D41" i="34"/>
  <c r="C41" i="34"/>
  <c r="E39" i="34"/>
  <c r="E38" i="34"/>
  <c r="E37" i="34"/>
  <c r="E36" i="34"/>
  <c r="E35" i="34"/>
  <c r="E34" i="34"/>
  <c r="E33" i="34"/>
  <c r="E32" i="34"/>
  <c r="E31" i="34"/>
  <c r="E30" i="34"/>
  <c r="E29" i="34"/>
  <c r="E28" i="34"/>
  <c r="E27" i="34"/>
  <c r="E26" i="34"/>
  <c r="E25" i="34"/>
  <c r="E24" i="34"/>
  <c r="E23" i="34"/>
  <c r="E22" i="34"/>
  <c r="E21" i="34"/>
  <c r="E20" i="34"/>
  <c r="E19" i="34"/>
  <c r="E18" i="34"/>
  <c r="E17" i="34"/>
  <c r="E16" i="34"/>
  <c r="E15" i="34"/>
  <c r="E14" i="34"/>
  <c r="E13" i="34"/>
  <c r="E12" i="34"/>
  <c r="E11" i="34"/>
  <c r="E10" i="34"/>
  <c r="E9" i="34"/>
  <c r="E8" i="34"/>
  <c r="E7" i="34"/>
  <c r="E6" i="34"/>
  <c r="E5" i="34"/>
  <c r="E41" i="34" l="1"/>
  <c r="C82" i="33"/>
  <c r="D41" i="33"/>
  <c r="C41" i="33"/>
  <c r="E39" i="33"/>
  <c r="E38" i="33"/>
  <c r="E37" i="33"/>
  <c r="E36" i="33"/>
  <c r="E35" i="33"/>
  <c r="E34" i="33"/>
  <c r="E33" i="33"/>
  <c r="E32" i="33"/>
  <c r="E31" i="33"/>
  <c r="E30" i="33"/>
  <c r="E29" i="33"/>
  <c r="E28" i="33"/>
  <c r="E27" i="33"/>
  <c r="E26" i="33"/>
  <c r="E25" i="33"/>
  <c r="E24" i="33"/>
  <c r="E23" i="33"/>
  <c r="E22" i="33"/>
  <c r="E21" i="33"/>
  <c r="E20" i="33"/>
  <c r="E19" i="33"/>
  <c r="E18" i="33"/>
  <c r="E17" i="33"/>
  <c r="E16" i="33"/>
  <c r="E15" i="33"/>
  <c r="E14" i="33"/>
  <c r="E13" i="33"/>
  <c r="E12" i="33"/>
  <c r="E11" i="33"/>
  <c r="E10" i="33"/>
  <c r="E9" i="33"/>
  <c r="E8" i="33"/>
  <c r="E7" i="33"/>
  <c r="E6" i="33"/>
  <c r="E5" i="33"/>
  <c r="E41" i="33" l="1"/>
  <c r="C82" i="32"/>
  <c r="D41" i="32"/>
  <c r="C41" i="32"/>
  <c r="E39" i="32"/>
  <c r="E38" i="32"/>
  <c r="E37" i="32"/>
  <c r="E36" i="32"/>
  <c r="E35" i="32"/>
  <c r="E34" i="32"/>
  <c r="E33" i="32"/>
  <c r="E32" i="32"/>
  <c r="E31" i="32"/>
  <c r="E30" i="32"/>
  <c r="E29" i="32"/>
  <c r="E28" i="32"/>
  <c r="E27" i="32"/>
  <c r="E26" i="32"/>
  <c r="E25" i="32"/>
  <c r="E24" i="32"/>
  <c r="E23" i="32"/>
  <c r="E22" i="32"/>
  <c r="E21" i="32"/>
  <c r="E20" i="32"/>
  <c r="E19" i="32"/>
  <c r="E18" i="32"/>
  <c r="E17" i="32"/>
  <c r="E16" i="32"/>
  <c r="E15" i="32"/>
  <c r="E14" i="32"/>
  <c r="E13" i="32"/>
  <c r="E12" i="32"/>
  <c r="E11" i="32"/>
  <c r="E10" i="32"/>
  <c r="E9" i="32"/>
  <c r="E8" i="32"/>
  <c r="E7" i="32"/>
  <c r="E6" i="32"/>
  <c r="E5" i="32"/>
  <c r="E41" i="32" l="1"/>
  <c r="C82" i="31"/>
  <c r="D41" i="31"/>
  <c r="C41" i="31"/>
  <c r="E39" i="31"/>
  <c r="E38" i="31"/>
  <c r="E37" i="31"/>
  <c r="E36" i="31"/>
  <c r="E35" i="31"/>
  <c r="E34" i="31"/>
  <c r="E33" i="31"/>
  <c r="E32" i="31"/>
  <c r="E31" i="31"/>
  <c r="E30" i="31"/>
  <c r="E29" i="31"/>
  <c r="E28" i="31"/>
  <c r="E27" i="31"/>
  <c r="E26" i="31"/>
  <c r="E25" i="31"/>
  <c r="E24" i="31"/>
  <c r="E23" i="31"/>
  <c r="E22" i="31"/>
  <c r="E21" i="31"/>
  <c r="E20" i="31"/>
  <c r="E19" i="31"/>
  <c r="E18" i="31"/>
  <c r="E17" i="31"/>
  <c r="E16" i="31"/>
  <c r="E15" i="31"/>
  <c r="E14" i="31"/>
  <c r="E13" i="31"/>
  <c r="E12" i="31"/>
  <c r="E11" i="31"/>
  <c r="E10" i="31"/>
  <c r="E9" i="31"/>
  <c r="E8" i="31"/>
  <c r="E7" i="31"/>
  <c r="E6" i="31"/>
  <c r="E5" i="31"/>
  <c r="E41" i="31" l="1"/>
  <c r="C41" i="29"/>
  <c r="E34" i="29"/>
  <c r="E6" i="29"/>
  <c r="E7" i="29"/>
  <c r="E8" i="29"/>
  <c r="E9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E35" i="29"/>
  <c r="E36" i="29"/>
  <c r="E37" i="29"/>
  <c r="E38" i="29"/>
  <c r="E39" i="29"/>
  <c r="E5" i="29"/>
  <c r="C82" i="29" l="1"/>
  <c r="D41" i="29"/>
  <c r="E41" i="2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8" authorId="0" shapeId="0" xr:uid="{00000000-0006-0000-0100-000001000000}">
      <text>
        <r>
          <rPr>
            <b/>
            <sz val="8"/>
            <color indexed="81"/>
            <rFont val="Tahoma"/>
            <family val="2"/>
            <charset val="238"/>
          </rPr>
          <t>Autor:</t>
        </r>
        <r>
          <rPr>
            <sz val="8"/>
            <color indexed="81"/>
            <rFont val="Tahoma"/>
            <family val="2"/>
            <charset val="238"/>
          </rPr>
          <t xml:space="preserve">
W 2018 roku uchwałą nr LVI/1670/18 z dnia 30 sierpnia 2018 r. wprowadzony został podział dzielnicy Chełm na dzielnicę Chełm i dzielnicę Orunia Górna-Gdańsk Południe.</t>
        </r>
      </text>
    </comment>
    <comment ref="B18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38"/>
          </rPr>
          <t>Autor:</t>
        </r>
        <r>
          <rPr>
            <sz val="9"/>
            <color indexed="81"/>
            <rFont val="Tahoma"/>
            <family val="2"/>
            <charset val="238"/>
          </rPr>
          <t xml:space="preserve">
W 2018 roku uchwałą nr LVI/1670/18 z dnia 30 sierpnia 2018 r. wprowadzony został podział dzielnicy Chełm na dzielnicę Chełm i dzielnicę Orunia Górna-Gdańsk Południe.</t>
        </r>
      </text>
    </comment>
    <comment ref="B68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38"/>
          </rPr>
          <t>Autor:</t>
        </r>
        <r>
          <rPr>
            <sz val="9"/>
            <color indexed="81"/>
            <rFont val="Tahoma"/>
            <family val="2"/>
            <charset val="238"/>
          </rPr>
          <t xml:space="preserve">
W 2018 roku uchwałą nr LVI/1670/18 z dnia 30 sierpnia 2018 r. wprowadzony został podział dzielnicy Chełm na dzielnicę Chełm i dzielnicę Orunia Górna-Gdańsk Południe.</t>
        </r>
      </text>
    </comment>
    <comment ref="B76" authorId="0" shapeId="0" xr:uid="{00000000-0006-0000-0100-000004000000}">
      <text>
        <r>
          <rPr>
            <b/>
            <sz val="8"/>
            <color indexed="81"/>
            <rFont val="Tahoma"/>
            <family val="2"/>
            <charset val="238"/>
          </rPr>
          <t>Autor:</t>
        </r>
        <r>
          <rPr>
            <sz val="8"/>
            <color indexed="81"/>
            <rFont val="Tahoma"/>
            <family val="2"/>
            <charset val="238"/>
          </rPr>
          <t xml:space="preserve">
W 2018 roku uchwałą nr LVI/1670/18 z dnia 30 sierpnia 2018 r. wprowadzony został podział dzielnicy Chełm na dzielnicę Chełm i dzielnicę Orunia Górna-Gdańsk Południe.</t>
        </r>
      </text>
    </comment>
    <comment ref="B97" authorId="0" shapeId="0" xr:uid="{00000000-0006-0000-0100-000005000000}">
      <text>
        <r>
          <rPr>
            <b/>
            <sz val="8"/>
            <color indexed="81"/>
            <rFont val="Tahoma"/>
            <family val="2"/>
            <charset val="238"/>
          </rPr>
          <t>Autor:</t>
        </r>
        <r>
          <rPr>
            <sz val="8"/>
            <color indexed="81"/>
            <rFont val="Tahoma"/>
            <family val="2"/>
            <charset val="238"/>
          </rPr>
          <t xml:space="preserve">
W 2018 roku uchwałą nr LVI/1670/18 z dnia 30 sierpnia 2018 r. wprowadzony został podział dzielnicy Chełm na dzielnicę Chełm i dzielnicę Orunia Górna-Gdańsk Południe.</t>
        </r>
      </text>
    </comment>
    <comment ref="B100" authorId="0" shapeId="0" xr:uid="{00000000-0006-0000-0100-000006000000}">
      <text>
        <r>
          <rPr>
            <b/>
            <sz val="9"/>
            <color indexed="81"/>
            <rFont val="Tahoma"/>
            <family val="2"/>
            <charset val="238"/>
          </rPr>
          <t>Autor:</t>
        </r>
        <r>
          <rPr>
            <sz val="9"/>
            <color indexed="81"/>
            <rFont val="Tahoma"/>
            <family val="2"/>
            <charset val="238"/>
          </rPr>
          <t xml:space="preserve">
W 2018 roku uchwałą nr LVI/1670/18 z dnia 30 sierpnia 2018 r. wprowadzony został podział dzielnicy Chełm na dzielnicę Chełm i dzielnicę Orunia Górna-Gdańsk Południe.</t>
        </r>
      </text>
    </comment>
  </commentList>
</comments>
</file>

<file path=xl/sharedStrings.xml><?xml version="1.0" encoding="utf-8"?>
<sst xmlns="http://schemas.openxmlformats.org/spreadsheetml/2006/main" count="1197" uniqueCount="104">
  <si>
    <t>*UWAGA: DANE SZACUNKOWE</t>
  </si>
  <si>
    <r>
      <t xml:space="preserve">**Ze względu na brak wskazania - w niektórych przypadkach przez poszkodowanych konkretnego adresu miejsca zdarzenia, którego miejsce miało w ciągu bądź okolicy jednej z ulic przechodzących przez kilka dzielnic dane te, zostały wydzielone i nie przypisane do żadnej z jednostek pomocniczych miasta Gdańska.
</t>
    </r>
    <r>
      <rPr>
        <b/>
        <u/>
        <sz val="12"/>
        <color theme="1"/>
        <rFont val="Calibri"/>
        <family val="2"/>
        <charset val="238"/>
      </rPr>
      <t xml:space="preserve">
Dotyczy to 1323 przestępstw odnotowanych w 2019 r., co stanowi 9,7% wszystkich przestępstw odnotowanych w tym czasie w Gdańsku
Dotyczy to 1652 przestępstw odnotowanych w 2020 r., co stanowi 11,2% wszystkich przestępstw odnotowanych w tym czasie w Gdańsku
Dotyczy to 229 przestępstw odnotowanych w 2021 r., co stanowi 2,1% wszystkich przestępstw odnotowanych w tym czasie w Gdańsku
Dotyczy to 1870 przestępstw odnotowanych w 2022 r., co stanowi 15,5% wszystkich przestępstw odnotowanych w tym czasie w Gdańsku</t>
    </r>
  </si>
  <si>
    <t>Liczba przestępstw ogółem oraz liczba przestępstw na 1000 mieszkańców w podziale na dzielnice Gdańska</t>
  </si>
  <si>
    <t>UWAGA: wyjaśnienia metodologiczne</t>
  </si>
  <si>
    <t>LP.</t>
  </si>
  <si>
    <t>DZIELNICA</t>
  </si>
  <si>
    <t>LICZBA PRZESTĘPSTW W 2020 R.</t>
  </si>
  <si>
    <t>LICZBA LUDNOŚCI 
W 2020 R.</t>
  </si>
  <si>
    <t>PRZESTĘPSTWA NA 1000 MIESZKAŃCÓW W 2020 R.</t>
  </si>
  <si>
    <t>1.</t>
  </si>
  <si>
    <t>Aniołki</t>
  </si>
  <si>
    <t>2.</t>
  </si>
  <si>
    <t>Brętowo</t>
  </si>
  <si>
    <t>3.</t>
  </si>
  <si>
    <t>Brzeźno</t>
  </si>
  <si>
    <t>4.</t>
  </si>
  <si>
    <t>Chełm</t>
  </si>
  <si>
    <t>5.</t>
  </si>
  <si>
    <t>Jasień</t>
  </si>
  <si>
    <t>6.</t>
  </si>
  <si>
    <t>Kokoszki</t>
  </si>
  <si>
    <t>7.</t>
  </si>
  <si>
    <t>Krakowiec - Górki Zachodnie</t>
  </si>
  <si>
    <t>8.</t>
  </si>
  <si>
    <t>Letnica</t>
  </si>
  <si>
    <t>9.</t>
  </si>
  <si>
    <t>Matarnia</t>
  </si>
  <si>
    <t>10.</t>
  </si>
  <si>
    <t>Młyniska</t>
  </si>
  <si>
    <t>11.</t>
  </si>
  <si>
    <t>Nowy Port</t>
  </si>
  <si>
    <t>12.</t>
  </si>
  <si>
    <t>Oliwa</t>
  </si>
  <si>
    <t>13.</t>
  </si>
  <si>
    <t>Olszynka</t>
  </si>
  <si>
    <t>14.</t>
  </si>
  <si>
    <t>Orunia Górna - Gdańsk Południe</t>
  </si>
  <si>
    <t>15.</t>
  </si>
  <si>
    <t>Orunia - Św. Wojciech - Lipce</t>
  </si>
  <si>
    <t>16.</t>
  </si>
  <si>
    <t>Osowa</t>
  </si>
  <si>
    <t>17.</t>
  </si>
  <si>
    <t>Piecki-Migowo</t>
  </si>
  <si>
    <t>18.</t>
  </si>
  <si>
    <t>Przeróbka</t>
  </si>
  <si>
    <t>19.</t>
  </si>
  <si>
    <t>Przymorze Małe</t>
  </si>
  <si>
    <t>20.</t>
  </si>
  <si>
    <t>Przymorze Wielkie</t>
  </si>
  <si>
    <t>21.</t>
  </si>
  <si>
    <t>Rudniki</t>
  </si>
  <si>
    <t>22.</t>
  </si>
  <si>
    <t>Siedlce</t>
  </si>
  <si>
    <t>23.</t>
  </si>
  <si>
    <t>Stogi</t>
  </si>
  <si>
    <t>24.</t>
  </si>
  <si>
    <t>Strzyża</t>
  </si>
  <si>
    <t>25.</t>
  </si>
  <si>
    <t>Suchanino</t>
  </si>
  <si>
    <t>26.</t>
  </si>
  <si>
    <t>Śródmieście</t>
  </si>
  <si>
    <t>27.</t>
  </si>
  <si>
    <t>Ujeścisko - Łostowice</t>
  </si>
  <si>
    <t>28.</t>
  </si>
  <si>
    <t>VII Dwór</t>
  </si>
  <si>
    <t>29.</t>
  </si>
  <si>
    <t>Wrzeszcz Dolny</t>
  </si>
  <si>
    <t>30.</t>
  </si>
  <si>
    <t>Wrzeszcz Górny</t>
  </si>
  <si>
    <t>31.</t>
  </si>
  <si>
    <t>Wyspa Sobieszewska</t>
  </si>
  <si>
    <t>32.</t>
  </si>
  <si>
    <t>Wzgórze Mickiewicza</t>
  </si>
  <si>
    <t>33.</t>
  </si>
  <si>
    <t>Zaspa Młyniec</t>
  </si>
  <si>
    <t>34.</t>
  </si>
  <si>
    <t>Zaspa Rozstaje</t>
  </si>
  <si>
    <t>35.</t>
  </si>
  <si>
    <t>Żabianka - Wejhera - Jelitkowo - Tysiąclecia</t>
  </si>
  <si>
    <t>-</t>
  </si>
  <si>
    <t>brak wskazania adresu/miejsca zdarzenia</t>
  </si>
  <si>
    <t>GDAŃSK</t>
  </si>
  <si>
    <t>Źródło: Opracowanie własne Referat Badań i Analiz Społeczno-Gospodarczych, Wydział Polityki Gospodarczej, Urząd Miejski w Gdańsku na podstawie danych Komendy Miejskiej Policji w Gdańsku.</t>
  </si>
  <si>
    <t>Liczba przestępstw w podziale na dzielnice Gdańska /uszeregowano rosnąco/</t>
  </si>
  <si>
    <t xml:space="preserve">DZIELNICA </t>
  </si>
  <si>
    <t>Liczba przestępstw na 1000 mieszkańców w podziale na dzielnice Gdańska /uszeregowano rosnąco/</t>
  </si>
  <si>
    <t>LICZBA PRZESTĘPSTW 
W 2019 R.</t>
  </si>
  <si>
    <t>LICZBA LUDNOŚCI W 2019 R.</t>
  </si>
  <si>
    <t>PRZESTĘPSTWA NA 1000 MIESZKAŃCÓW W 2019 R.</t>
  </si>
  <si>
    <t>Krakowiec-Górki Zachodnie</t>
  </si>
  <si>
    <t>Orunia Górna-Gdańsk Południe</t>
  </si>
  <si>
    <t>Orunia-Św. Wojciech-Lipce</t>
  </si>
  <si>
    <t>Ujeścisko-Łostowice</t>
  </si>
  <si>
    <t>Żabianka-Wejhera-Jelit.Tysiąc.</t>
  </si>
  <si>
    <t>b.d.</t>
  </si>
  <si>
    <t>LICZBA PRZESTĘPSTW W 2021 R.</t>
  </si>
  <si>
    <t>LICZBA LUDNOŚCI 
W 2021 R.</t>
  </si>
  <si>
    <t>PRZESTĘPSTWA NA 1000 MIESZKAŃCÓW W 2021 R.</t>
  </si>
  <si>
    <t>LICZBA PRZESTĘPSTW W 2022 R.</t>
  </si>
  <si>
    <t>LICZBA LUDNOŚCI 
W 2022 R.</t>
  </si>
  <si>
    <t>PRZESTĘPSTWA NA 1000 MIESZKAŃCÓW W 2022 R.</t>
  </si>
  <si>
    <t>LICZBA PRZESTĘPSTW W 2023 R.</t>
  </si>
  <si>
    <t>LICZBA LUDNOŚCI 
W 2023 R.</t>
  </si>
  <si>
    <t>PRZESTĘPSTWA NA 1000 MIESZKAŃCÓW W 2023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</si>
</sst>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0"/>
      <name val="Calibri"/>
      <family val="2"/>
      <charset val="238"/>
      <scheme val="minor"/>
    </font>
    <font>
      <b/>
      <sz val="14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i/>
      <sz val="9"/>
      <color indexed="8"/>
      <name val="Calibri"/>
      <family val="2"/>
      <charset val="238"/>
      <scheme val="minor"/>
    </font>
    <font>
      <b/>
      <sz val="11"/>
      <color indexed="8"/>
      <name val="Calibri"/>
      <family val="2"/>
      <charset val="238"/>
      <scheme val="minor"/>
    </font>
    <font>
      <i/>
      <sz val="8"/>
      <color indexed="8"/>
      <name val="Calibri"/>
      <family val="2"/>
      <charset val="238"/>
      <scheme val="minor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u/>
      <sz val="11"/>
      <color theme="10"/>
      <name val="Calibri"/>
      <family val="2"/>
      <charset val="238"/>
      <scheme val="minor"/>
    </font>
    <font>
      <u/>
      <sz val="12"/>
      <color theme="10"/>
      <name val="Calibri"/>
      <family val="2"/>
      <charset val="238"/>
      <scheme val="minor"/>
    </font>
    <font>
      <b/>
      <sz val="12"/>
      <color theme="1"/>
      <name val="Calibri"/>
      <family val="2"/>
      <charset val="238"/>
    </font>
    <font>
      <b/>
      <u/>
      <sz val="12"/>
      <color theme="1"/>
      <name val="Calibri"/>
      <family val="2"/>
      <charset val="238"/>
    </font>
    <font>
      <b/>
      <sz val="11"/>
      <color theme="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FFD6"/>
        <bgColor indexed="64"/>
      </patternFill>
    </fill>
    <fill>
      <patternFill patternType="solid">
        <fgColor rgb="FFCCFFF5"/>
        <bgColor indexed="64"/>
      </patternFill>
    </fill>
    <fill>
      <patternFill patternType="solid">
        <fgColor rgb="FF009E7F"/>
        <bgColor indexed="64"/>
      </patternFill>
    </fill>
    <fill>
      <patternFill patternType="solid">
        <fgColor rgb="FFE6FFFA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5" fillId="0" borderId="0" applyNumberFormat="0" applyFill="0" applyBorder="0" applyAlignment="0" applyProtection="0"/>
  </cellStyleXfs>
  <cellXfs count="65">
    <xf numFmtId="0" fontId="0" fillId="0" borderId="0" xfId="0"/>
    <xf numFmtId="0" fontId="2" fillId="0" borderId="0" xfId="1"/>
    <xf numFmtId="164" fontId="2" fillId="0" borderId="0" xfId="1" applyNumberFormat="1"/>
    <xf numFmtId="0" fontId="4" fillId="0" borderId="0" xfId="0" applyFont="1"/>
    <xf numFmtId="0" fontId="5" fillId="0" borderId="0" xfId="1" applyFont="1"/>
    <xf numFmtId="0" fontId="6" fillId="0" borderId="0" xfId="1" applyFont="1"/>
    <xf numFmtId="164" fontId="6" fillId="0" borderId="1" xfId="1" applyNumberFormat="1" applyFont="1" applyBorder="1"/>
    <xf numFmtId="0" fontId="6" fillId="0" borderId="1" xfId="1" applyFont="1" applyBorder="1"/>
    <xf numFmtId="3" fontId="6" fillId="0" borderId="1" xfId="1" applyNumberFormat="1" applyFont="1" applyBorder="1"/>
    <xf numFmtId="0" fontId="7" fillId="0" borderId="0" xfId="1" applyFont="1"/>
    <xf numFmtId="0" fontId="6" fillId="0" borderId="4" xfId="1" applyFont="1" applyBorder="1"/>
    <xf numFmtId="0" fontId="1" fillId="0" borderId="0" xfId="1" applyFont="1" applyAlignment="1">
      <alignment vertical="center" wrapText="1"/>
    </xf>
    <xf numFmtId="0" fontId="6" fillId="0" borderId="5" xfId="1" applyFont="1" applyBorder="1"/>
    <xf numFmtId="164" fontId="8" fillId="2" borderId="1" xfId="1" applyNumberFormat="1" applyFont="1" applyFill="1" applyBorder="1" applyAlignment="1">
      <alignment vertical="center"/>
    </xf>
    <xf numFmtId="0" fontId="8" fillId="2" borderId="1" xfId="1" applyFont="1" applyFill="1" applyBorder="1"/>
    <xf numFmtId="3" fontId="8" fillId="2" borderId="1" xfId="1" applyNumberFormat="1" applyFont="1" applyFill="1" applyBorder="1" applyAlignment="1">
      <alignment horizontal="center"/>
    </xf>
    <xf numFmtId="164" fontId="8" fillId="2" borderId="1" xfId="1" applyNumberFormat="1" applyFont="1" applyFill="1" applyBorder="1" applyAlignment="1">
      <alignment horizontal="center"/>
    </xf>
    <xf numFmtId="0" fontId="10" fillId="0" borderId="0" xfId="1" applyFont="1" applyAlignment="1">
      <alignment vertical="center"/>
    </xf>
    <xf numFmtId="3" fontId="6" fillId="0" borderId="3" xfId="1" applyNumberFormat="1" applyFont="1" applyBorder="1"/>
    <xf numFmtId="3" fontId="6" fillId="0" borderId="0" xfId="1" applyNumberFormat="1" applyFont="1"/>
    <xf numFmtId="2" fontId="6" fillId="0" borderId="0" xfId="1" applyNumberFormat="1" applyFont="1"/>
    <xf numFmtId="3" fontId="6" fillId="0" borderId="4" xfId="1" applyNumberFormat="1" applyFont="1" applyBorder="1"/>
    <xf numFmtId="3" fontId="6" fillId="0" borderId="5" xfId="1" applyNumberFormat="1" applyFont="1" applyBorder="1"/>
    <xf numFmtId="0" fontId="6" fillId="2" borderId="1" xfId="1" applyFont="1" applyFill="1" applyBorder="1"/>
    <xf numFmtId="164" fontId="8" fillId="2" borderId="7" xfId="1" applyNumberFormat="1" applyFont="1" applyFill="1" applyBorder="1" applyAlignment="1">
      <alignment vertical="center"/>
    </xf>
    <xf numFmtId="0" fontId="6" fillId="0" borderId="8" xfId="1" applyFont="1" applyBorder="1"/>
    <xf numFmtId="164" fontId="6" fillId="0" borderId="3" xfId="1" applyNumberFormat="1" applyFont="1" applyBorder="1"/>
    <xf numFmtId="164" fontId="6" fillId="0" borderId="0" xfId="1" applyNumberFormat="1" applyFont="1"/>
    <xf numFmtId="0" fontId="6" fillId="0" borderId="9" xfId="1" applyFont="1" applyBorder="1"/>
    <xf numFmtId="164" fontId="6" fillId="0" borderId="4" xfId="1" applyNumberFormat="1" applyFont="1" applyBorder="1"/>
    <xf numFmtId="164" fontId="6" fillId="0" borderId="10" xfId="1" applyNumberFormat="1" applyFont="1" applyBorder="1"/>
    <xf numFmtId="0" fontId="6" fillId="3" borderId="1" xfId="1" applyFont="1" applyFill="1" applyBorder="1"/>
    <xf numFmtId="164" fontId="6" fillId="0" borderId="6" xfId="1" applyNumberFormat="1" applyFont="1" applyBorder="1"/>
    <xf numFmtId="164" fontId="6" fillId="0" borderId="5" xfId="1" applyNumberFormat="1" applyFont="1" applyBorder="1"/>
    <xf numFmtId="164" fontId="6" fillId="0" borderId="8" xfId="1" applyNumberFormat="1" applyFont="1" applyBorder="1"/>
    <xf numFmtId="164" fontId="6" fillId="0" borderId="9" xfId="1" applyNumberFormat="1" applyFont="1" applyBorder="1"/>
    <xf numFmtId="0" fontId="6" fillId="0" borderId="11" xfId="1" applyFont="1" applyBorder="1"/>
    <xf numFmtId="10" fontId="6" fillId="0" borderId="0" xfId="1" applyNumberFormat="1" applyFont="1"/>
    <xf numFmtId="0" fontId="3" fillId="4" borderId="1" xfId="1" applyFont="1" applyFill="1" applyBorder="1" applyAlignment="1">
      <alignment horizontal="center"/>
    </xf>
    <xf numFmtId="0" fontId="17" fillId="4" borderId="1" xfId="1" applyFont="1" applyFill="1" applyBorder="1" applyAlignment="1">
      <alignment horizontal="center" vertical="center" wrapText="1"/>
    </xf>
    <xf numFmtId="0" fontId="6" fillId="0" borderId="5" xfId="1" applyFont="1" applyBorder="1" applyAlignment="1">
      <alignment horizontal="center"/>
    </xf>
    <xf numFmtId="3" fontId="8" fillId="2" borderId="1" xfId="1" applyNumberFormat="1" applyFont="1" applyFill="1" applyBorder="1"/>
    <xf numFmtId="165" fontId="6" fillId="0" borderId="1" xfId="1" applyNumberFormat="1" applyFont="1" applyBorder="1"/>
    <xf numFmtId="165" fontId="8" fillId="2" borderId="1" xfId="1" applyNumberFormat="1" applyFont="1" applyFill="1" applyBorder="1" applyAlignment="1">
      <alignment horizontal="center"/>
    </xf>
    <xf numFmtId="0" fontId="19" fillId="7" borderId="1" xfId="1" applyFont="1" applyFill="1" applyBorder="1" applyAlignment="1">
      <alignment horizontal="center" vertical="center" wrapText="1"/>
    </xf>
    <xf numFmtId="0" fontId="19" fillId="7" borderId="2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/>
    </xf>
    <xf numFmtId="0" fontId="6" fillId="5" borderId="5" xfId="1" applyFont="1" applyFill="1" applyBorder="1"/>
    <xf numFmtId="164" fontId="9" fillId="5" borderId="1" xfId="1" applyNumberFormat="1" applyFont="1" applyFill="1" applyBorder="1"/>
    <xf numFmtId="3" fontId="9" fillId="5" borderId="1" xfId="1" applyNumberFormat="1" applyFont="1" applyFill="1" applyBorder="1"/>
    <xf numFmtId="165" fontId="9" fillId="5" borderId="1" xfId="1" applyNumberFormat="1" applyFont="1" applyFill="1" applyBorder="1"/>
    <xf numFmtId="0" fontId="6" fillId="5" borderId="1" xfId="1" applyFont="1" applyFill="1" applyBorder="1"/>
    <xf numFmtId="164" fontId="9" fillId="5" borderId="7" xfId="1" applyNumberFormat="1" applyFont="1" applyFill="1" applyBorder="1"/>
    <xf numFmtId="164" fontId="9" fillId="5" borderId="5" xfId="1" applyNumberFormat="1" applyFont="1" applyFill="1" applyBorder="1"/>
    <xf numFmtId="0" fontId="16" fillId="6" borderId="0" xfId="2" applyFont="1" applyFill="1" applyBorder="1"/>
    <xf numFmtId="0" fontId="15" fillId="6" borderId="0" xfId="2" applyFill="1" applyBorder="1"/>
    <xf numFmtId="0" fontId="6" fillId="6" borderId="0" xfId="1" applyFont="1" applyFill="1"/>
    <xf numFmtId="164" fontId="6" fillId="3" borderId="1" xfId="1" applyNumberFormat="1" applyFont="1" applyFill="1" applyBorder="1"/>
    <xf numFmtId="0" fontId="16" fillId="8" borderId="0" xfId="2" applyFont="1" applyFill="1"/>
    <xf numFmtId="0" fontId="15" fillId="8" borderId="0" xfId="2" applyFill="1"/>
    <xf numFmtId="0" fontId="6" fillId="8" borderId="0" xfId="1" applyFont="1" applyFill="1"/>
    <xf numFmtId="0" fontId="9" fillId="5" borderId="1" xfId="1" applyFont="1" applyFill="1" applyBorder="1"/>
    <xf numFmtId="164" fontId="7" fillId="0" borderId="0" xfId="1" applyNumberFormat="1" applyFont="1"/>
    <xf numFmtId="164" fontId="1" fillId="0" borderId="0" xfId="1" applyNumberFormat="1" applyFont="1" applyAlignment="1">
      <alignment vertical="center" wrapText="1"/>
    </xf>
    <xf numFmtId="164" fontId="20" fillId="5" borderId="5" xfId="1" applyNumberFormat="1" applyFont="1" applyFill="1" applyBorder="1"/>
  </cellXfs>
  <cellStyles count="3">
    <cellStyle name="Hiperłącze" xfId="2" builtinId="8"/>
    <cellStyle name="Normalny" xfId="0" builtinId="0"/>
    <cellStyle name="Normalny 2" xfId="1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0000"/>
      <rgbColor rgb="00FFFFFF"/>
      <rgbColor rgb="00F0F0F0"/>
      <rgbColor rgb="0000FF00"/>
      <rgbColor rgb="00008000"/>
      <rgbColor rgb="000A0A0A"/>
      <rgbColor rgb="000066CC"/>
      <rgbColor rgb="00CCCCFF"/>
      <rgbColor rgb="00141414"/>
      <rgbColor rgb="001E1E1E"/>
      <rgbColor rgb="00282828"/>
      <rgbColor rgb="00400000"/>
      <rgbColor rgb="00800000"/>
      <rgbColor rgb="00C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F2F2"/>
      <color rgb="FF33FFD6"/>
      <color rgb="FFE6FFFA"/>
      <color rgb="FFD73533"/>
      <color rgb="FF009E7F"/>
      <color rgb="FF00CAA2"/>
      <color rgb="FFFF5353"/>
      <color rgb="FF63BE7B"/>
      <color rgb="FFFAC090"/>
      <color rgb="FFF688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 b="0"/>
              <a:t>Liczba przestępstw na 1000 mieszkańców w podziale na dzielnice Gdańska</a:t>
            </a:r>
            <a:r>
              <a:rPr lang="pl-PL" sz="1400" b="0"/>
              <a:t> w 2020 r.</a:t>
            </a:r>
            <a:endParaRPr lang="en-US" sz="1400" b="0"/>
          </a:p>
        </c:rich>
      </c:tx>
      <c:overlay val="0"/>
      <c:spPr>
        <a:solidFill>
          <a:srgbClr val="F2F2F2"/>
        </a:solidFill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'Przestęsptwa 2020'!$C$87</c:f>
              <c:strCache>
                <c:ptCount val="1"/>
                <c:pt idx="0">
                  <c:v>PRZESTĘPSTWA NA 1000 MIESZKAŃCÓW W 2020 R.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6632-4B5F-8B8D-4E86C7B7F138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6632-4B5F-8B8D-4E86C7B7F138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6632-4B5F-8B8D-4E86C7B7F138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6632-4B5F-8B8D-4E86C7B7F138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6632-4B5F-8B8D-4E86C7B7F138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B-6632-4B5F-8B8D-4E86C7B7F138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6632-4B5F-8B8D-4E86C7B7F138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F-6632-4B5F-8B8D-4E86C7B7F138}"/>
              </c:ext>
            </c:extLst>
          </c:dPt>
          <c:dPt>
            <c:idx val="8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1-6632-4B5F-8B8D-4E86C7B7F138}"/>
              </c:ext>
            </c:extLst>
          </c:dPt>
          <c:dPt>
            <c:idx val="9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6632-4B5F-8B8D-4E86C7B7F138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6632-4B5F-8B8D-4E86C7B7F138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6632-4B5F-8B8D-4E86C7B7F138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9-6632-4B5F-8B8D-4E86C7B7F138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B-6632-4B5F-8B8D-4E86C7B7F138}"/>
              </c:ext>
            </c:extLst>
          </c:dPt>
          <c:dPt>
            <c:idx val="14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D-6632-4B5F-8B8D-4E86C7B7F138}"/>
              </c:ext>
            </c:extLst>
          </c:dPt>
          <c:dPt>
            <c:idx val="15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F-6632-4B5F-8B8D-4E86C7B7F138}"/>
              </c:ext>
            </c:extLst>
          </c:dPt>
          <c:dPt>
            <c:idx val="16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1-6632-4B5F-8B8D-4E86C7B7F138}"/>
              </c:ext>
            </c:extLst>
          </c:dPt>
          <c:dPt>
            <c:idx val="17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3-6632-4B5F-8B8D-4E86C7B7F138}"/>
              </c:ext>
            </c:extLst>
          </c:dPt>
          <c:dPt>
            <c:idx val="18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5-6632-4B5F-8B8D-4E86C7B7F138}"/>
              </c:ext>
            </c:extLst>
          </c:dPt>
          <c:dPt>
            <c:idx val="19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7-6632-4B5F-8B8D-4E86C7B7F138}"/>
              </c:ext>
            </c:extLst>
          </c:dPt>
          <c:dPt>
            <c:idx val="20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9-6632-4B5F-8B8D-4E86C7B7F138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B-6632-4B5F-8B8D-4E86C7B7F138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D-6632-4B5F-8B8D-4E86C7B7F138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F-6632-4B5F-8B8D-4E86C7B7F138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1-6632-4B5F-8B8D-4E86C7B7F138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3-6632-4B5F-8B8D-4E86C7B7F138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5-6632-4B5F-8B8D-4E86C7B7F138}"/>
              </c:ext>
            </c:extLst>
          </c:dPt>
          <c:dPt>
            <c:idx val="30"/>
            <c:invertIfNegative val="0"/>
            <c:bubble3D val="0"/>
            <c:spPr>
              <a:solidFill>
                <a:srgbClr val="FAC090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7-6632-4B5F-8B8D-4E86C7B7F138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9-6632-4B5F-8B8D-4E86C7B7F138}"/>
              </c:ext>
            </c:extLst>
          </c:dPt>
          <c:dPt>
            <c:idx val="32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B-6632-4B5F-8B8D-4E86C7B7F138}"/>
              </c:ext>
            </c:extLst>
          </c:dPt>
          <c:dPt>
            <c:idx val="33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D-6632-4B5F-8B8D-4E86C7B7F138}"/>
              </c:ext>
            </c:extLst>
          </c:dPt>
          <c:dPt>
            <c:idx val="34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F-6632-4B5F-8B8D-4E86C7B7F138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41-6632-4B5F-8B8D-4E86C7B7F138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43-6632-4B5F-8B8D-4E86C7B7F138}"/>
              </c:ext>
            </c:extLst>
          </c:dPt>
          <c:dLbls>
            <c:dLbl>
              <c:idx val="21"/>
              <c:layout>
                <c:manualLayout>
                  <c:x val="7.7971808814668594E-17"/>
                  <c:y val="5.734513274336279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632-4B5F-8B8D-4E86C7B7F138}"/>
                </c:ext>
              </c:extLst>
            </c:dLbl>
            <c:dLbl>
              <c:idx val="22"/>
              <c:layout>
                <c:manualLayout>
                  <c:x val="0"/>
                  <c:y val="5.394642134976666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632-4B5F-8B8D-4E86C7B7F1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000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'Przestęsptwa 2020'!$B$88:$B$124</c:f>
              <c:strCache>
                <c:ptCount val="37"/>
                <c:pt idx="0">
                  <c:v>Wzgórze Mickiewicza</c:v>
                </c:pt>
                <c:pt idx="1">
                  <c:v>Brętowo</c:v>
                </c:pt>
                <c:pt idx="2">
                  <c:v>Chełm</c:v>
                </c:pt>
                <c:pt idx="3">
                  <c:v>Żabianka - Wejhera - Jelitkowo - Tysiąclecia</c:v>
                </c:pt>
                <c:pt idx="4">
                  <c:v>Zaspa Młyniec</c:v>
                </c:pt>
                <c:pt idx="5">
                  <c:v>Ujeścisko - Łostowice</c:v>
                </c:pt>
                <c:pt idx="6">
                  <c:v>Suchanino</c:v>
                </c:pt>
                <c:pt idx="7">
                  <c:v>Orunia Górna - Gdańsk Południe</c:v>
                </c:pt>
                <c:pt idx="8">
                  <c:v>Nowy Port</c:v>
                </c:pt>
                <c:pt idx="9">
                  <c:v>Brzeźno</c:v>
                </c:pt>
                <c:pt idx="10">
                  <c:v>Zaspa Rozstaje</c:v>
                </c:pt>
                <c:pt idx="11">
                  <c:v>Stogi</c:v>
                </c:pt>
                <c:pt idx="12">
                  <c:v>Kokoszki</c:v>
                </c:pt>
                <c:pt idx="13">
                  <c:v>VII Dwór</c:v>
                </c:pt>
                <c:pt idx="14">
                  <c:v>Strzyża</c:v>
                </c:pt>
                <c:pt idx="15">
                  <c:v>Piecki-Migowo</c:v>
                </c:pt>
                <c:pt idx="16">
                  <c:v>Przymorze Wielkie</c:v>
                </c:pt>
                <c:pt idx="17">
                  <c:v>Jasień</c:v>
                </c:pt>
                <c:pt idx="18">
                  <c:v>Osowa</c:v>
                </c:pt>
                <c:pt idx="19">
                  <c:v>Siedlce</c:v>
                </c:pt>
                <c:pt idx="20">
                  <c:v>Wyspa Sobieszewska</c:v>
                </c:pt>
                <c:pt idx="21">
                  <c:v>Oliwa</c:v>
                </c:pt>
                <c:pt idx="22">
                  <c:v>Przymorze Małe</c:v>
                </c:pt>
                <c:pt idx="23">
                  <c:v>Wrzeszcz Dolny</c:v>
                </c:pt>
                <c:pt idx="24">
                  <c:v>Matarnia</c:v>
                </c:pt>
                <c:pt idx="25">
                  <c:v>Wrzeszcz Górny</c:v>
                </c:pt>
                <c:pt idx="26">
                  <c:v>Krakowiec - Górki Zachodnie</c:v>
                </c:pt>
                <c:pt idx="27">
                  <c:v>Młyniska</c:v>
                </c:pt>
                <c:pt idx="28">
                  <c:v>Aniołki</c:v>
                </c:pt>
                <c:pt idx="29">
                  <c:v>Orunia - Św. Wojciech - Lipce</c:v>
                </c:pt>
                <c:pt idx="30">
                  <c:v>Olszynka</c:v>
                </c:pt>
                <c:pt idx="31">
                  <c:v>Przeróbka</c:v>
                </c:pt>
                <c:pt idx="32">
                  <c:v>Śródmieście</c:v>
                </c:pt>
                <c:pt idx="33">
                  <c:v>Letnica</c:v>
                </c:pt>
                <c:pt idx="34">
                  <c:v>Rudniki</c:v>
                </c:pt>
                <c:pt idx="36">
                  <c:v>GDAŃSK</c:v>
                </c:pt>
              </c:strCache>
            </c:strRef>
          </c:cat>
          <c:val>
            <c:numRef>
              <c:f>'Przestęsptwa 2020'!$C$88:$C$124</c:f>
              <c:numCache>
                <c:formatCode>0.0</c:formatCode>
                <c:ptCount val="37"/>
                <c:pt idx="0">
                  <c:v>9.4339622641509422</c:v>
                </c:pt>
                <c:pt idx="1">
                  <c:v>16.818964375579391</c:v>
                </c:pt>
                <c:pt idx="2">
                  <c:v>18.196700667422238</c:v>
                </c:pt>
                <c:pt idx="3">
                  <c:v>19.414995529441818</c:v>
                </c:pt>
                <c:pt idx="4">
                  <c:v>19.821912504839332</c:v>
                </c:pt>
                <c:pt idx="5">
                  <c:v>20.067954979825867</c:v>
                </c:pt>
                <c:pt idx="6">
                  <c:v>20.20500689927065</c:v>
                </c:pt>
                <c:pt idx="7">
                  <c:v>21.937842778793417</c:v>
                </c:pt>
                <c:pt idx="8">
                  <c:v>22.029811486190269</c:v>
                </c:pt>
                <c:pt idx="9">
                  <c:v>22.185631337204267</c:v>
                </c:pt>
                <c:pt idx="10">
                  <c:v>22.260141161870781</c:v>
                </c:pt>
                <c:pt idx="11">
                  <c:v>22.597197552792579</c:v>
                </c:pt>
                <c:pt idx="12">
                  <c:v>22.855987055016179</c:v>
                </c:pt>
                <c:pt idx="13">
                  <c:v>22.867194371152156</c:v>
                </c:pt>
                <c:pt idx="14">
                  <c:v>23.023211926778639</c:v>
                </c:pt>
                <c:pt idx="15">
                  <c:v>24.812002760925637</c:v>
                </c:pt>
                <c:pt idx="16">
                  <c:v>24.923298359910607</c:v>
                </c:pt>
                <c:pt idx="17">
                  <c:v>25.9393477016975</c:v>
                </c:pt>
                <c:pt idx="18">
                  <c:v>27.045468643384403</c:v>
                </c:pt>
                <c:pt idx="19">
                  <c:v>27.282182574605969</c:v>
                </c:pt>
                <c:pt idx="20">
                  <c:v>28.105167724388032</c:v>
                </c:pt>
                <c:pt idx="21">
                  <c:v>28.790915163660653</c:v>
                </c:pt>
                <c:pt idx="22">
                  <c:v>29.42537856245454</c:v>
                </c:pt>
                <c:pt idx="23">
                  <c:v>31.901565995525726</c:v>
                </c:pt>
                <c:pt idx="24">
                  <c:v>35.857238158772518</c:v>
                </c:pt>
                <c:pt idx="25">
                  <c:v>40.059347181008903</c:v>
                </c:pt>
                <c:pt idx="26">
                  <c:v>42.25352112676056</c:v>
                </c:pt>
                <c:pt idx="27">
                  <c:v>42.443474811582703</c:v>
                </c:pt>
                <c:pt idx="28">
                  <c:v>43.911272068809417</c:v>
                </c:pt>
                <c:pt idx="29">
                  <c:v>45.515295515295513</c:v>
                </c:pt>
                <c:pt idx="30">
                  <c:v>52.453468697123519</c:v>
                </c:pt>
                <c:pt idx="31">
                  <c:v>54.819433619121853</c:v>
                </c:pt>
                <c:pt idx="32">
                  <c:v>85.955330942288882</c:v>
                </c:pt>
                <c:pt idx="33">
                  <c:v>98.609355246523393</c:v>
                </c:pt>
                <c:pt idx="34">
                  <c:v>126.90839694656489</c:v>
                </c:pt>
                <c:pt idx="36">
                  <c:v>33.908479534853768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6632-4B5F-8B8D-4E86C7B7F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8524376"/>
        <c:axId val="368526728"/>
      </c:barChart>
      <c:catAx>
        <c:axId val="368524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68526728"/>
        <c:crosses val="autoZero"/>
        <c:auto val="1"/>
        <c:lblAlgn val="ctr"/>
        <c:lblOffset val="100"/>
        <c:noMultiLvlLbl val="0"/>
      </c:catAx>
      <c:valAx>
        <c:axId val="36852672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.0" sourceLinked="1"/>
        <c:majorTickMark val="out"/>
        <c:minorTickMark val="none"/>
        <c:tickLblPos val="nextTo"/>
        <c:crossAx val="36852437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pl-PL" sz="1400" b="0"/>
              <a:t>Liczba</a:t>
            </a:r>
            <a:r>
              <a:rPr lang="pl-PL" sz="1400" b="0" baseline="0"/>
              <a:t> przestępstw w podziale na dzielnice Gdańska w 2020 r. </a:t>
            </a:r>
            <a:endParaRPr lang="en-US" sz="1400" b="0"/>
          </a:p>
        </c:rich>
      </c:tx>
      <c:overlay val="0"/>
      <c:spPr>
        <a:solidFill>
          <a:srgbClr val="F2F2F2"/>
        </a:solidFill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'Przestęsptwa 2020'!$C$45</c:f>
              <c:strCache>
                <c:ptCount val="1"/>
                <c:pt idx="0">
                  <c:v>LICZBA PRZESTĘPSTW W 2020 R.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prstClr val="black">
                  <a:lumMod val="95000"/>
                  <a:lumOff val="5000"/>
                </a:prstClr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FAC-4BE0-9A19-1FF3CA76F0C4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FAC-4BE0-9A19-1FF3CA76F0C4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DFAC-4BE0-9A19-1FF3CA76F0C4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DFAC-4BE0-9A19-1FF3CA76F0C4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DFAC-4BE0-9A19-1FF3CA76F0C4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B-DFAC-4BE0-9A19-1FF3CA76F0C4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DFAC-4BE0-9A19-1FF3CA76F0C4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F-DFAC-4BE0-9A19-1FF3CA76F0C4}"/>
              </c:ext>
            </c:extLst>
          </c:dPt>
          <c:dPt>
            <c:idx val="8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1-DFAC-4BE0-9A19-1FF3CA76F0C4}"/>
              </c:ext>
            </c:extLst>
          </c:dPt>
          <c:dPt>
            <c:idx val="9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DFAC-4BE0-9A19-1FF3CA76F0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DFAC-4BE0-9A19-1FF3CA76F0C4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DFAC-4BE0-9A19-1FF3CA76F0C4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9-DFAC-4BE0-9A19-1FF3CA76F0C4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B-DFAC-4BE0-9A19-1FF3CA76F0C4}"/>
              </c:ext>
            </c:extLst>
          </c:dPt>
          <c:dPt>
            <c:idx val="14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D-DFAC-4BE0-9A19-1FF3CA76F0C4}"/>
              </c:ext>
            </c:extLst>
          </c:dPt>
          <c:dPt>
            <c:idx val="15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F-DFAC-4BE0-9A19-1FF3CA76F0C4}"/>
              </c:ext>
            </c:extLst>
          </c:dPt>
          <c:dPt>
            <c:idx val="16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1-DFAC-4BE0-9A19-1FF3CA76F0C4}"/>
              </c:ext>
            </c:extLst>
          </c:dPt>
          <c:dPt>
            <c:idx val="17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3-DFAC-4BE0-9A19-1FF3CA76F0C4}"/>
              </c:ext>
            </c:extLst>
          </c:dPt>
          <c:dPt>
            <c:idx val="18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5-DFAC-4BE0-9A19-1FF3CA76F0C4}"/>
              </c:ext>
            </c:extLst>
          </c:dPt>
          <c:dPt>
            <c:idx val="19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7-DFAC-4BE0-9A19-1FF3CA76F0C4}"/>
              </c:ext>
            </c:extLst>
          </c:dPt>
          <c:dPt>
            <c:idx val="20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9-DFAC-4BE0-9A19-1FF3CA76F0C4}"/>
              </c:ext>
            </c:extLst>
          </c:dPt>
          <c:dPt>
            <c:idx val="21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B-DFAC-4BE0-9A19-1FF3CA76F0C4}"/>
              </c:ext>
            </c:extLst>
          </c:dPt>
          <c:dPt>
            <c:idx val="22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D-DFAC-4BE0-9A19-1FF3CA76F0C4}"/>
              </c:ext>
            </c:extLst>
          </c:dPt>
          <c:dPt>
            <c:idx val="23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F-DFAC-4BE0-9A19-1FF3CA76F0C4}"/>
              </c:ext>
            </c:extLst>
          </c:dPt>
          <c:dPt>
            <c:idx val="24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1-DFAC-4BE0-9A19-1FF3CA76F0C4}"/>
              </c:ext>
            </c:extLst>
          </c:dPt>
          <c:dPt>
            <c:idx val="25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3-DFAC-4BE0-9A19-1FF3CA76F0C4}"/>
              </c:ext>
            </c:extLst>
          </c:dPt>
          <c:dPt>
            <c:idx val="26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5-DFAC-4BE0-9A19-1FF3CA76F0C4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7-DFAC-4BE0-9A19-1FF3CA76F0C4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9-DFAC-4BE0-9A19-1FF3CA76F0C4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B-DFAC-4BE0-9A19-1FF3CA76F0C4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D-DFAC-4BE0-9A19-1FF3CA76F0C4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F-DFAC-4BE0-9A19-1FF3CA76F0C4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41-DFAC-4BE0-9A19-1FF3CA76F0C4}"/>
              </c:ext>
            </c:extLst>
          </c:dPt>
          <c:dPt>
            <c:idx val="33"/>
            <c:invertIfNegative val="0"/>
            <c:bubble3D val="0"/>
            <c:spPr>
              <a:solidFill>
                <a:srgbClr val="F6885C"/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43-DFAC-4BE0-9A19-1FF3CA76F0C4}"/>
              </c:ext>
            </c:extLst>
          </c:dPt>
          <c:dPt>
            <c:idx val="34"/>
            <c:invertIfNegative val="0"/>
            <c:bubble3D val="0"/>
            <c:spPr>
              <a:solidFill>
                <a:srgbClr val="FF0000"/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45-DFAC-4BE0-9A19-1FF3CA76F0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00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'Przestęsptwa 2020'!$B$46:$B$80</c:f>
              <c:strCache>
                <c:ptCount val="35"/>
                <c:pt idx="0">
                  <c:v>Wzgórze Mickiewicza</c:v>
                </c:pt>
                <c:pt idx="1">
                  <c:v>Krakowiec - Górki Zachodnie</c:v>
                </c:pt>
                <c:pt idx="2">
                  <c:v>VII Dwór</c:v>
                </c:pt>
                <c:pt idx="3">
                  <c:v>Wyspa Sobieszewska</c:v>
                </c:pt>
                <c:pt idx="4">
                  <c:v>Młyniska</c:v>
                </c:pt>
                <c:pt idx="5">
                  <c:v>Strzyża</c:v>
                </c:pt>
                <c:pt idx="6">
                  <c:v>Brętowo</c:v>
                </c:pt>
                <c:pt idx="7">
                  <c:v>Rudniki</c:v>
                </c:pt>
                <c:pt idx="8">
                  <c:v>Olszynka</c:v>
                </c:pt>
                <c:pt idx="9">
                  <c:v>Letnica</c:v>
                </c:pt>
                <c:pt idx="10">
                  <c:v>Aniołki</c:v>
                </c:pt>
                <c:pt idx="11">
                  <c:v>Nowy Port</c:v>
                </c:pt>
                <c:pt idx="12">
                  <c:v>Suchanino</c:v>
                </c:pt>
                <c:pt idx="13">
                  <c:v>Przeróbka</c:v>
                </c:pt>
                <c:pt idx="14">
                  <c:v>Matarnia</c:v>
                </c:pt>
                <c:pt idx="15">
                  <c:v>Kokoszki</c:v>
                </c:pt>
                <c:pt idx="16">
                  <c:v>Stogi</c:v>
                </c:pt>
                <c:pt idx="17">
                  <c:v>Brzeźno</c:v>
                </c:pt>
                <c:pt idx="18">
                  <c:v>Zaspa Młyniec</c:v>
                </c:pt>
                <c:pt idx="19">
                  <c:v>Zaspa Rozstaje</c:v>
                </c:pt>
                <c:pt idx="20">
                  <c:v>Żabianka - Wejhera - Jelitkowo - Tysiąclecia</c:v>
                </c:pt>
                <c:pt idx="21">
                  <c:v>Siedlce</c:v>
                </c:pt>
                <c:pt idx="22">
                  <c:v>Oliwa</c:v>
                </c:pt>
                <c:pt idx="23">
                  <c:v>Osowa</c:v>
                </c:pt>
                <c:pt idx="24">
                  <c:v>Przymorze Małe</c:v>
                </c:pt>
                <c:pt idx="25">
                  <c:v>Orunia Górna - Gdańsk Południe</c:v>
                </c:pt>
                <c:pt idx="26">
                  <c:v>Jasień</c:v>
                </c:pt>
                <c:pt idx="27">
                  <c:v>Ujeścisko - Łostowice</c:v>
                </c:pt>
                <c:pt idx="28">
                  <c:v>Chełm</c:v>
                </c:pt>
                <c:pt idx="29">
                  <c:v>Orunia - Św. Wojciech - Lipce</c:v>
                </c:pt>
                <c:pt idx="30">
                  <c:v>Przymorze Wielkie</c:v>
                </c:pt>
                <c:pt idx="31">
                  <c:v>Piecki-Migowo</c:v>
                </c:pt>
                <c:pt idx="32">
                  <c:v>Wrzeszcz Dolny</c:v>
                </c:pt>
                <c:pt idx="33">
                  <c:v>Wrzeszcz Górny</c:v>
                </c:pt>
                <c:pt idx="34">
                  <c:v>Śródmieście</c:v>
                </c:pt>
              </c:strCache>
            </c:strRef>
          </c:cat>
          <c:val>
            <c:numRef>
              <c:f>'Przestęsptwa 2020'!$C$46:$C$80</c:f>
              <c:numCache>
                <c:formatCode>#,##0</c:formatCode>
                <c:ptCount val="35"/>
                <c:pt idx="0">
                  <c:v>23</c:v>
                </c:pt>
                <c:pt idx="1">
                  <c:v>75</c:v>
                </c:pt>
                <c:pt idx="2">
                  <c:v>78</c:v>
                </c:pt>
                <c:pt idx="3">
                  <c:v>93</c:v>
                </c:pt>
                <c:pt idx="4">
                  <c:v>107</c:v>
                </c:pt>
                <c:pt idx="5">
                  <c:v>122</c:v>
                </c:pt>
                <c:pt idx="6">
                  <c:v>127</c:v>
                </c:pt>
                <c:pt idx="7">
                  <c:v>133</c:v>
                </c:pt>
                <c:pt idx="8">
                  <c:v>155</c:v>
                </c:pt>
                <c:pt idx="9">
                  <c:v>156</c:v>
                </c:pt>
                <c:pt idx="10">
                  <c:v>194</c:v>
                </c:pt>
                <c:pt idx="11">
                  <c:v>201</c:v>
                </c:pt>
                <c:pt idx="12">
                  <c:v>205</c:v>
                </c:pt>
                <c:pt idx="13">
                  <c:v>211</c:v>
                </c:pt>
                <c:pt idx="14">
                  <c:v>215</c:v>
                </c:pt>
                <c:pt idx="15">
                  <c:v>226</c:v>
                </c:pt>
                <c:pt idx="16">
                  <c:v>229</c:v>
                </c:pt>
                <c:pt idx="17">
                  <c:v>256</c:v>
                </c:pt>
                <c:pt idx="18">
                  <c:v>256</c:v>
                </c:pt>
                <c:pt idx="19">
                  <c:v>287</c:v>
                </c:pt>
                <c:pt idx="20">
                  <c:v>304</c:v>
                </c:pt>
                <c:pt idx="21">
                  <c:v>341</c:v>
                </c:pt>
                <c:pt idx="22">
                  <c:v>431</c:v>
                </c:pt>
                <c:pt idx="23">
                  <c:v>436</c:v>
                </c:pt>
                <c:pt idx="24">
                  <c:v>445</c:v>
                </c:pt>
                <c:pt idx="25">
                  <c:v>456</c:v>
                </c:pt>
                <c:pt idx="26">
                  <c:v>544</c:v>
                </c:pt>
                <c:pt idx="27">
                  <c:v>567</c:v>
                </c:pt>
                <c:pt idx="28">
                  <c:v>578</c:v>
                </c:pt>
                <c:pt idx="29">
                  <c:v>613</c:v>
                </c:pt>
                <c:pt idx="30">
                  <c:v>658</c:v>
                </c:pt>
                <c:pt idx="31">
                  <c:v>683</c:v>
                </c:pt>
                <c:pt idx="32">
                  <c:v>713</c:v>
                </c:pt>
                <c:pt idx="33">
                  <c:v>864</c:v>
                </c:pt>
                <c:pt idx="34">
                  <c:v>2109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DFAC-4BE0-9A19-1FF3CA76F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8527904"/>
        <c:axId val="368528688"/>
      </c:barChart>
      <c:catAx>
        <c:axId val="368527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68528688"/>
        <c:crosses val="autoZero"/>
        <c:auto val="1"/>
        <c:lblAlgn val="ctr"/>
        <c:lblOffset val="100"/>
        <c:noMultiLvlLbl val="0"/>
      </c:catAx>
      <c:valAx>
        <c:axId val="368528688"/>
        <c:scaling>
          <c:orientation val="minMax"/>
          <c:max val="250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368527904"/>
        <c:crosses val="autoZero"/>
        <c:crossBetween val="between"/>
        <c:majorUnit val="250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0" baseline="0">
                <a:effectLst/>
              </a:rPr>
              <a:t>Liczba przestępstw na 1000 mieszkańców w podziale na dzielnice Gdańska</a:t>
            </a:r>
            <a:r>
              <a:rPr lang="pl-PL" sz="1400" b="0" i="0" baseline="0">
                <a:effectLst/>
              </a:rPr>
              <a:t> w 2019 r.</a:t>
            </a:r>
            <a:endParaRPr lang="pl-PL" sz="1400">
              <a:effectLst/>
            </a:endParaRPr>
          </a:p>
        </c:rich>
      </c:tx>
      <c:overlay val="0"/>
      <c:spPr>
        <a:solidFill>
          <a:srgbClr val="F2F2F2"/>
        </a:solidFill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'Przestępstwa 2019'!$C$87</c:f>
              <c:strCache>
                <c:ptCount val="1"/>
                <c:pt idx="0">
                  <c:v>PRZESTĘPSTWA NA 1000 MIESZKAŃCÓW W 2020 R.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2DB1-414C-A8CC-31952F4F374B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2DB1-414C-A8CC-31952F4F374B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2DB1-414C-A8CC-31952F4F374B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2DB1-414C-A8CC-31952F4F374B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2DB1-414C-A8CC-31952F4F374B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B-2DB1-414C-A8CC-31952F4F374B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2DB1-414C-A8CC-31952F4F374B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F-2DB1-414C-A8CC-31952F4F374B}"/>
              </c:ext>
            </c:extLst>
          </c:dPt>
          <c:dPt>
            <c:idx val="8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1-2DB1-414C-A8CC-31952F4F374B}"/>
              </c:ext>
            </c:extLst>
          </c:dPt>
          <c:dPt>
            <c:idx val="9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2DB1-414C-A8CC-31952F4F374B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2DB1-414C-A8CC-31952F4F374B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2DB1-414C-A8CC-31952F4F374B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9-2DB1-414C-A8CC-31952F4F374B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B-2DB1-414C-A8CC-31952F4F374B}"/>
              </c:ext>
            </c:extLst>
          </c:dPt>
          <c:dPt>
            <c:idx val="14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D-2DB1-414C-A8CC-31952F4F374B}"/>
              </c:ext>
            </c:extLst>
          </c:dPt>
          <c:dPt>
            <c:idx val="15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F-2DB1-414C-A8CC-31952F4F374B}"/>
              </c:ext>
            </c:extLst>
          </c:dPt>
          <c:dPt>
            <c:idx val="16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1-2DB1-414C-A8CC-31952F4F374B}"/>
              </c:ext>
            </c:extLst>
          </c:dPt>
          <c:dPt>
            <c:idx val="17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3-2DB1-414C-A8CC-31952F4F374B}"/>
              </c:ext>
            </c:extLst>
          </c:dPt>
          <c:dPt>
            <c:idx val="18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5-2DB1-414C-A8CC-31952F4F374B}"/>
              </c:ext>
            </c:extLst>
          </c:dPt>
          <c:dPt>
            <c:idx val="19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7-2DB1-414C-A8CC-31952F4F374B}"/>
              </c:ext>
            </c:extLst>
          </c:dPt>
          <c:dPt>
            <c:idx val="20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9-2DB1-414C-A8CC-31952F4F374B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B-2DB1-414C-A8CC-31952F4F374B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D-2DB1-414C-A8CC-31952F4F374B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F-2DB1-414C-A8CC-31952F4F374B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1-2DB1-414C-A8CC-31952F4F374B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3-2DB1-414C-A8CC-31952F4F374B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5-2DB1-414C-A8CC-31952F4F374B}"/>
              </c:ext>
            </c:extLst>
          </c:dPt>
          <c:dPt>
            <c:idx val="30"/>
            <c:invertIfNegative val="0"/>
            <c:bubble3D val="0"/>
            <c:spPr>
              <a:solidFill>
                <a:srgbClr val="FAC090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7-2DB1-414C-A8CC-31952F4F374B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9-2DB1-414C-A8CC-31952F4F374B}"/>
              </c:ext>
            </c:extLst>
          </c:dPt>
          <c:dPt>
            <c:idx val="32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B-2DB1-414C-A8CC-31952F4F374B}"/>
              </c:ext>
            </c:extLst>
          </c:dPt>
          <c:dPt>
            <c:idx val="33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D-2DB1-414C-A8CC-31952F4F374B}"/>
              </c:ext>
            </c:extLst>
          </c:dPt>
          <c:dPt>
            <c:idx val="34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F-2DB1-414C-A8CC-31952F4F374B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41-2DB1-414C-A8CC-31952F4F374B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43-2DB1-414C-A8CC-31952F4F374B}"/>
              </c:ext>
            </c:extLst>
          </c:dPt>
          <c:dLbls>
            <c:dLbl>
              <c:idx val="21"/>
              <c:layout>
                <c:manualLayout>
                  <c:x val="7.7971808814668594E-17"/>
                  <c:y val="5.734513274336279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2DB1-414C-A8CC-31952F4F374B}"/>
                </c:ext>
              </c:extLst>
            </c:dLbl>
            <c:dLbl>
              <c:idx val="22"/>
              <c:layout>
                <c:manualLayout>
                  <c:x val="0"/>
                  <c:y val="5.394642134976666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2DB1-414C-A8CC-31952F4F37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000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'Przestępstwa 2019'!$B$88:$B$124</c:f>
              <c:strCache>
                <c:ptCount val="37"/>
                <c:pt idx="0">
                  <c:v>Brętowo</c:v>
                </c:pt>
                <c:pt idx="1">
                  <c:v>Wzgórze Mickiewicza</c:v>
                </c:pt>
                <c:pt idx="2">
                  <c:v>VII Dwór</c:v>
                </c:pt>
                <c:pt idx="3">
                  <c:v>Zaspa Młyniec</c:v>
                </c:pt>
                <c:pt idx="4">
                  <c:v>Suchanino</c:v>
                </c:pt>
                <c:pt idx="5">
                  <c:v>Strzyża</c:v>
                </c:pt>
                <c:pt idx="6">
                  <c:v>Ujeścisko-Łostowice</c:v>
                </c:pt>
                <c:pt idx="7">
                  <c:v>Chełm</c:v>
                </c:pt>
                <c:pt idx="8">
                  <c:v>Orunia Górna-Gdańsk Południe</c:v>
                </c:pt>
                <c:pt idx="9">
                  <c:v>Piecki-Migowo</c:v>
                </c:pt>
                <c:pt idx="10">
                  <c:v>Zaspa Rozstaje</c:v>
                </c:pt>
                <c:pt idx="11">
                  <c:v>Jasień</c:v>
                </c:pt>
                <c:pt idx="12">
                  <c:v>Kokoszki</c:v>
                </c:pt>
                <c:pt idx="13">
                  <c:v>Żabianka-Wejhera-Jelit.Tysiąc.</c:v>
                </c:pt>
                <c:pt idx="14">
                  <c:v>Osowa</c:v>
                </c:pt>
                <c:pt idx="15">
                  <c:v>Brzeźno</c:v>
                </c:pt>
                <c:pt idx="16">
                  <c:v>Przymorze Wielkie</c:v>
                </c:pt>
                <c:pt idx="17">
                  <c:v>Nowy Port</c:v>
                </c:pt>
                <c:pt idx="18">
                  <c:v>Przymorze Małe</c:v>
                </c:pt>
                <c:pt idx="19">
                  <c:v>Stogi</c:v>
                </c:pt>
                <c:pt idx="20">
                  <c:v>Wrzeszcz Dolny</c:v>
                </c:pt>
                <c:pt idx="21">
                  <c:v>Siedlce</c:v>
                </c:pt>
                <c:pt idx="22">
                  <c:v>Oliwa</c:v>
                </c:pt>
                <c:pt idx="23">
                  <c:v>Wyspa Sobieszewska</c:v>
                </c:pt>
                <c:pt idx="24">
                  <c:v>Matarnia</c:v>
                </c:pt>
                <c:pt idx="25">
                  <c:v>Krakowiec-Górki Zachodnie</c:v>
                </c:pt>
                <c:pt idx="26">
                  <c:v>Aniołki</c:v>
                </c:pt>
                <c:pt idx="27">
                  <c:v>Orunia-Św. Wojciech-Lipce</c:v>
                </c:pt>
                <c:pt idx="28">
                  <c:v>Olszynka</c:v>
                </c:pt>
                <c:pt idx="29">
                  <c:v>Przeróbka</c:v>
                </c:pt>
                <c:pt idx="30">
                  <c:v>Wrzeszcz Górny</c:v>
                </c:pt>
                <c:pt idx="31">
                  <c:v>Młyniska</c:v>
                </c:pt>
                <c:pt idx="32">
                  <c:v>Rudniki</c:v>
                </c:pt>
                <c:pt idx="33">
                  <c:v>Śródmieście</c:v>
                </c:pt>
                <c:pt idx="34">
                  <c:v>Letnica</c:v>
                </c:pt>
                <c:pt idx="36">
                  <c:v>GDAŃSK</c:v>
                </c:pt>
              </c:strCache>
            </c:strRef>
          </c:cat>
          <c:val>
            <c:numRef>
              <c:f>'Przestępstwa 2019'!$C$88:$C$124</c:f>
              <c:numCache>
                <c:formatCode>0.0</c:formatCode>
                <c:ptCount val="37"/>
                <c:pt idx="0">
                  <c:v>11.479086950785065</c:v>
                </c:pt>
                <c:pt idx="1">
                  <c:v>12.414897877452942</c:v>
                </c:pt>
                <c:pt idx="2">
                  <c:v>15.403128760529482</c:v>
                </c:pt>
                <c:pt idx="3">
                  <c:v>15.834348355663822</c:v>
                </c:pt>
                <c:pt idx="4">
                  <c:v>15.983725661145014</c:v>
                </c:pt>
                <c:pt idx="5">
                  <c:v>16.24680540343191</c:v>
                </c:pt>
                <c:pt idx="6">
                  <c:v>16.371569723414229</c:v>
                </c:pt>
                <c:pt idx="7">
                  <c:v>16.729493130627123</c:v>
                </c:pt>
                <c:pt idx="8">
                  <c:v>16.790316282702069</c:v>
                </c:pt>
                <c:pt idx="9">
                  <c:v>17.421349336242955</c:v>
                </c:pt>
                <c:pt idx="10">
                  <c:v>19.054178145087235</c:v>
                </c:pt>
                <c:pt idx="11">
                  <c:v>20.746268656716421</c:v>
                </c:pt>
                <c:pt idx="12">
                  <c:v>20.759133000915842</c:v>
                </c:pt>
                <c:pt idx="13">
                  <c:v>20.777604976671849</c:v>
                </c:pt>
                <c:pt idx="14">
                  <c:v>20.789375698150675</c:v>
                </c:pt>
                <c:pt idx="15">
                  <c:v>22.772940388479569</c:v>
                </c:pt>
                <c:pt idx="16">
                  <c:v>22.839163427725335</c:v>
                </c:pt>
                <c:pt idx="17">
                  <c:v>24.709766748322505</c:v>
                </c:pt>
                <c:pt idx="18">
                  <c:v>25.834371516621861</c:v>
                </c:pt>
                <c:pt idx="19">
                  <c:v>26.247724877861863</c:v>
                </c:pt>
                <c:pt idx="20">
                  <c:v>27.081952728075986</c:v>
                </c:pt>
                <c:pt idx="21">
                  <c:v>28.383252312999844</c:v>
                </c:pt>
                <c:pt idx="22">
                  <c:v>31.942162339796258</c:v>
                </c:pt>
                <c:pt idx="23">
                  <c:v>33.822208919485185</c:v>
                </c:pt>
                <c:pt idx="24">
                  <c:v>35.143769968051117</c:v>
                </c:pt>
                <c:pt idx="25">
                  <c:v>36.184210526315788</c:v>
                </c:pt>
                <c:pt idx="26">
                  <c:v>36.979627989371124</c:v>
                </c:pt>
                <c:pt idx="27">
                  <c:v>37.295701634386923</c:v>
                </c:pt>
                <c:pt idx="28">
                  <c:v>38.372477671187561</c:v>
                </c:pt>
                <c:pt idx="29">
                  <c:v>42.986425339366512</c:v>
                </c:pt>
                <c:pt idx="30">
                  <c:v>44.698828018533661</c:v>
                </c:pt>
                <c:pt idx="31">
                  <c:v>50.455235204855839</c:v>
                </c:pt>
                <c:pt idx="32">
                  <c:v>92.057761732851986</c:v>
                </c:pt>
                <c:pt idx="33">
                  <c:v>93.883073984160461</c:v>
                </c:pt>
                <c:pt idx="34">
                  <c:v>112.85909712722298</c:v>
                </c:pt>
                <c:pt idx="36">
                  <c:v>31.098182281336996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2DB1-414C-A8CC-31952F4F3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71790496"/>
        <c:axId val="372124760"/>
      </c:barChart>
      <c:catAx>
        <c:axId val="371790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72124760"/>
        <c:crosses val="autoZero"/>
        <c:auto val="1"/>
        <c:lblAlgn val="ctr"/>
        <c:lblOffset val="100"/>
        <c:noMultiLvlLbl val="0"/>
      </c:catAx>
      <c:valAx>
        <c:axId val="3721247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.0" sourceLinked="1"/>
        <c:majorTickMark val="out"/>
        <c:minorTickMark val="none"/>
        <c:tickLblPos val="nextTo"/>
        <c:crossAx val="37179049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 sz="1400" b="0" i="0" baseline="0">
                <a:effectLst/>
              </a:rPr>
              <a:t>Liczba przestępstw w podziale na dzielnice Gdańska w 2019 r. </a:t>
            </a:r>
            <a:endParaRPr lang="pl-PL" sz="1400">
              <a:effectLst/>
            </a:endParaRPr>
          </a:p>
        </c:rich>
      </c:tx>
      <c:overlay val="0"/>
      <c:spPr>
        <a:solidFill>
          <a:srgbClr val="F2F2F2"/>
        </a:solidFill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'Przestępstwa 2019'!$C$45</c:f>
              <c:strCache>
                <c:ptCount val="1"/>
                <c:pt idx="0">
                  <c:v>LICZBA PRZESTĘPSTW 
W 2019 R.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prstClr val="black">
                  <a:lumMod val="95000"/>
                  <a:lumOff val="5000"/>
                </a:prstClr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A9E-4046-A4D3-3DD465B1AC37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A9E-4046-A4D3-3DD465B1AC37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8A9E-4046-A4D3-3DD465B1AC37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8A9E-4046-A4D3-3DD465B1AC37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8A9E-4046-A4D3-3DD465B1AC37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B-8A9E-4046-A4D3-3DD465B1AC37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8A9E-4046-A4D3-3DD465B1AC37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F-8A9E-4046-A4D3-3DD465B1AC37}"/>
              </c:ext>
            </c:extLst>
          </c:dPt>
          <c:dPt>
            <c:idx val="8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1-8A9E-4046-A4D3-3DD465B1AC37}"/>
              </c:ext>
            </c:extLst>
          </c:dPt>
          <c:dPt>
            <c:idx val="9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8A9E-4046-A4D3-3DD465B1AC37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8A9E-4046-A4D3-3DD465B1AC37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8A9E-4046-A4D3-3DD465B1AC37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9-8A9E-4046-A4D3-3DD465B1AC37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B-8A9E-4046-A4D3-3DD465B1AC37}"/>
              </c:ext>
            </c:extLst>
          </c:dPt>
          <c:dPt>
            <c:idx val="14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D-8A9E-4046-A4D3-3DD465B1AC37}"/>
              </c:ext>
            </c:extLst>
          </c:dPt>
          <c:dPt>
            <c:idx val="15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F-8A9E-4046-A4D3-3DD465B1AC37}"/>
              </c:ext>
            </c:extLst>
          </c:dPt>
          <c:dPt>
            <c:idx val="16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1-8A9E-4046-A4D3-3DD465B1AC37}"/>
              </c:ext>
            </c:extLst>
          </c:dPt>
          <c:dPt>
            <c:idx val="17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3-8A9E-4046-A4D3-3DD465B1AC37}"/>
              </c:ext>
            </c:extLst>
          </c:dPt>
          <c:dPt>
            <c:idx val="18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5-8A9E-4046-A4D3-3DD465B1AC37}"/>
              </c:ext>
            </c:extLst>
          </c:dPt>
          <c:dPt>
            <c:idx val="19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7-8A9E-4046-A4D3-3DD465B1AC37}"/>
              </c:ext>
            </c:extLst>
          </c:dPt>
          <c:dPt>
            <c:idx val="20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9-8A9E-4046-A4D3-3DD465B1AC37}"/>
              </c:ext>
            </c:extLst>
          </c:dPt>
          <c:dPt>
            <c:idx val="21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B-8A9E-4046-A4D3-3DD465B1AC37}"/>
              </c:ext>
            </c:extLst>
          </c:dPt>
          <c:dPt>
            <c:idx val="22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D-8A9E-4046-A4D3-3DD465B1AC37}"/>
              </c:ext>
            </c:extLst>
          </c:dPt>
          <c:dPt>
            <c:idx val="23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F-8A9E-4046-A4D3-3DD465B1AC37}"/>
              </c:ext>
            </c:extLst>
          </c:dPt>
          <c:dPt>
            <c:idx val="24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1-8A9E-4046-A4D3-3DD465B1AC37}"/>
              </c:ext>
            </c:extLst>
          </c:dPt>
          <c:dPt>
            <c:idx val="25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3-8A9E-4046-A4D3-3DD465B1AC37}"/>
              </c:ext>
            </c:extLst>
          </c:dPt>
          <c:dPt>
            <c:idx val="26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5-8A9E-4046-A4D3-3DD465B1AC37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7-8A9E-4046-A4D3-3DD465B1AC37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9-8A9E-4046-A4D3-3DD465B1AC37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B-8A9E-4046-A4D3-3DD465B1AC37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D-8A9E-4046-A4D3-3DD465B1AC37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F-8A9E-4046-A4D3-3DD465B1AC37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41-8A9E-4046-A4D3-3DD465B1AC37}"/>
              </c:ext>
            </c:extLst>
          </c:dPt>
          <c:dPt>
            <c:idx val="33"/>
            <c:invertIfNegative val="0"/>
            <c:bubble3D val="0"/>
            <c:spPr>
              <a:solidFill>
                <a:srgbClr val="F6885C"/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43-8A9E-4046-A4D3-3DD465B1AC37}"/>
              </c:ext>
            </c:extLst>
          </c:dPt>
          <c:dPt>
            <c:idx val="34"/>
            <c:invertIfNegative val="0"/>
            <c:bubble3D val="0"/>
            <c:spPr>
              <a:solidFill>
                <a:srgbClr val="FF0000"/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45-8A9E-4046-A4D3-3DD465B1AC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00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'Przestępstwa 2019'!$B$46:$B$80</c:f>
              <c:strCache>
                <c:ptCount val="35"/>
                <c:pt idx="0">
                  <c:v>Wzgórze Mickiewicza</c:v>
                </c:pt>
                <c:pt idx="1">
                  <c:v>VII Dwór</c:v>
                </c:pt>
                <c:pt idx="2">
                  <c:v>Krakowiec-Górki Zachodnie</c:v>
                </c:pt>
                <c:pt idx="3">
                  <c:v>Brętowo</c:v>
                </c:pt>
                <c:pt idx="4">
                  <c:v>Strzyża</c:v>
                </c:pt>
                <c:pt idx="5">
                  <c:v>Rudniki</c:v>
                </c:pt>
                <c:pt idx="6">
                  <c:v>Wyspa Sobieszewska</c:v>
                </c:pt>
                <c:pt idx="7">
                  <c:v>Olszynka</c:v>
                </c:pt>
                <c:pt idx="8">
                  <c:v>Młyniska</c:v>
                </c:pt>
                <c:pt idx="9">
                  <c:v>Letnica</c:v>
                </c:pt>
                <c:pt idx="10">
                  <c:v>Suchanino</c:v>
                </c:pt>
                <c:pt idx="11">
                  <c:v>Aniołki</c:v>
                </c:pt>
                <c:pt idx="12">
                  <c:v>Przeróbka</c:v>
                </c:pt>
                <c:pt idx="13">
                  <c:v>Kokoszki</c:v>
                </c:pt>
                <c:pt idx="14">
                  <c:v>Zaspa Młyniec</c:v>
                </c:pt>
                <c:pt idx="15">
                  <c:v>Matarnia</c:v>
                </c:pt>
                <c:pt idx="16">
                  <c:v>Nowy Port</c:v>
                </c:pt>
                <c:pt idx="17">
                  <c:v>Zaspa Rozstaje</c:v>
                </c:pt>
                <c:pt idx="18">
                  <c:v>Brzeźno</c:v>
                </c:pt>
                <c:pt idx="19">
                  <c:v>Stogi</c:v>
                </c:pt>
                <c:pt idx="20">
                  <c:v>Żabianka-Wejhera-Jelit.Tysiąc.</c:v>
                </c:pt>
                <c:pt idx="21">
                  <c:v>Osowa</c:v>
                </c:pt>
                <c:pt idx="22">
                  <c:v>Orunia Górna-Gdańsk Południe</c:v>
                </c:pt>
                <c:pt idx="23">
                  <c:v>Siedlce</c:v>
                </c:pt>
                <c:pt idx="24">
                  <c:v>Przymorze Małe</c:v>
                </c:pt>
                <c:pt idx="25">
                  <c:v>Jasień</c:v>
                </c:pt>
                <c:pt idx="26">
                  <c:v>Ujeścisko-Łostowice</c:v>
                </c:pt>
                <c:pt idx="27">
                  <c:v>Piecki-Migowo</c:v>
                </c:pt>
                <c:pt idx="28">
                  <c:v>Oliwa</c:v>
                </c:pt>
                <c:pt idx="29">
                  <c:v>Orunia-Św. Wojciech-Lipce</c:v>
                </c:pt>
                <c:pt idx="30">
                  <c:v>Chełm</c:v>
                </c:pt>
                <c:pt idx="31">
                  <c:v>Wrzeszcz Dolny</c:v>
                </c:pt>
                <c:pt idx="32">
                  <c:v>Przymorze Wielkie</c:v>
                </c:pt>
                <c:pt idx="33">
                  <c:v>Wrzeszcz Górny</c:v>
                </c:pt>
                <c:pt idx="34">
                  <c:v>Śródmieście</c:v>
                </c:pt>
              </c:strCache>
            </c:strRef>
          </c:cat>
          <c:val>
            <c:numRef>
              <c:f>'Przestępstwa 2019'!$C$46:$C$80</c:f>
              <c:numCache>
                <c:formatCode>#,##0</c:formatCode>
                <c:ptCount val="35"/>
                <c:pt idx="0">
                  <c:v>31</c:v>
                </c:pt>
                <c:pt idx="1">
                  <c:v>64</c:v>
                </c:pt>
                <c:pt idx="2">
                  <c:v>66</c:v>
                </c:pt>
                <c:pt idx="3">
                  <c:v>87</c:v>
                </c:pt>
                <c:pt idx="4">
                  <c:v>89</c:v>
                </c:pt>
                <c:pt idx="5">
                  <c:v>102</c:v>
                </c:pt>
                <c:pt idx="6">
                  <c:v>113</c:v>
                </c:pt>
                <c:pt idx="7">
                  <c:v>116</c:v>
                </c:pt>
                <c:pt idx="8">
                  <c:v>133</c:v>
                </c:pt>
                <c:pt idx="9">
                  <c:v>165</c:v>
                </c:pt>
                <c:pt idx="10">
                  <c:v>165</c:v>
                </c:pt>
                <c:pt idx="11">
                  <c:v>167</c:v>
                </c:pt>
                <c:pt idx="12">
                  <c:v>171</c:v>
                </c:pt>
                <c:pt idx="13">
                  <c:v>204</c:v>
                </c:pt>
                <c:pt idx="14">
                  <c:v>208</c:v>
                </c:pt>
                <c:pt idx="15">
                  <c:v>209</c:v>
                </c:pt>
                <c:pt idx="16">
                  <c:v>232</c:v>
                </c:pt>
                <c:pt idx="17">
                  <c:v>249</c:v>
                </c:pt>
                <c:pt idx="18">
                  <c:v>272</c:v>
                </c:pt>
                <c:pt idx="19">
                  <c:v>274</c:v>
                </c:pt>
                <c:pt idx="20">
                  <c:v>334</c:v>
                </c:pt>
                <c:pt idx="21">
                  <c:v>335</c:v>
                </c:pt>
                <c:pt idx="22">
                  <c:v>344</c:v>
                </c:pt>
                <c:pt idx="23">
                  <c:v>362</c:v>
                </c:pt>
                <c:pt idx="24">
                  <c:v>394</c:v>
                </c:pt>
                <c:pt idx="25">
                  <c:v>417</c:v>
                </c:pt>
                <c:pt idx="26">
                  <c:v>454</c:v>
                </c:pt>
                <c:pt idx="27">
                  <c:v>479</c:v>
                </c:pt>
                <c:pt idx="28">
                  <c:v>486</c:v>
                </c:pt>
                <c:pt idx="29">
                  <c:v>518</c:v>
                </c:pt>
                <c:pt idx="30">
                  <c:v>537</c:v>
                </c:pt>
                <c:pt idx="31">
                  <c:v>613</c:v>
                </c:pt>
                <c:pt idx="32">
                  <c:v>617</c:v>
                </c:pt>
                <c:pt idx="33">
                  <c:v>984</c:v>
                </c:pt>
                <c:pt idx="34">
                  <c:v>2359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8A9E-4046-A4D3-3DD465B1A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72315152"/>
        <c:axId val="368523200"/>
      </c:barChart>
      <c:catAx>
        <c:axId val="372315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68523200"/>
        <c:crosses val="autoZero"/>
        <c:auto val="1"/>
        <c:lblAlgn val="ctr"/>
        <c:lblOffset val="100"/>
        <c:noMultiLvlLbl val="0"/>
      </c:catAx>
      <c:valAx>
        <c:axId val="368523200"/>
        <c:scaling>
          <c:orientation val="minMax"/>
          <c:max val="250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372315152"/>
        <c:crosses val="autoZero"/>
        <c:crossBetween val="between"/>
        <c:majorUnit val="250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 b="0"/>
              <a:t>Liczba przestępstw na 1000 mieszkańców w podziale na dzielnice Gdańska</a:t>
            </a:r>
            <a:r>
              <a:rPr lang="pl-PL" sz="1400" b="0"/>
              <a:t> w 2021 r.</a:t>
            </a:r>
            <a:endParaRPr lang="en-US" sz="1400" b="0"/>
          </a:p>
        </c:rich>
      </c:tx>
      <c:overlay val="0"/>
      <c:spPr>
        <a:solidFill>
          <a:srgbClr val="F2F2F2"/>
        </a:solidFill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'Przestęsptwa 2021'!$C$87</c:f>
              <c:strCache>
                <c:ptCount val="1"/>
                <c:pt idx="0">
                  <c:v>PRZESTĘPSTWA NA 1000 MIESZKAŃCÓW W 2021 R.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3414-4D8F-A082-7711C821487A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3414-4D8F-A082-7711C821487A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3414-4D8F-A082-7711C821487A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3414-4D8F-A082-7711C821487A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3414-4D8F-A082-7711C821487A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B-3414-4D8F-A082-7711C821487A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3414-4D8F-A082-7711C821487A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F-3414-4D8F-A082-7711C821487A}"/>
              </c:ext>
            </c:extLst>
          </c:dPt>
          <c:dPt>
            <c:idx val="8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1-3414-4D8F-A082-7711C821487A}"/>
              </c:ext>
            </c:extLst>
          </c:dPt>
          <c:dPt>
            <c:idx val="9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3414-4D8F-A082-7711C821487A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3414-4D8F-A082-7711C821487A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3414-4D8F-A082-7711C821487A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9-3414-4D8F-A082-7711C821487A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B-3414-4D8F-A082-7711C821487A}"/>
              </c:ext>
            </c:extLst>
          </c:dPt>
          <c:dPt>
            <c:idx val="14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D-3414-4D8F-A082-7711C821487A}"/>
              </c:ext>
            </c:extLst>
          </c:dPt>
          <c:dPt>
            <c:idx val="15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F-3414-4D8F-A082-7711C821487A}"/>
              </c:ext>
            </c:extLst>
          </c:dPt>
          <c:dPt>
            <c:idx val="16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1-3414-4D8F-A082-7711C821487A}"/>
              </c:ext>
            </c:extLst>
          </c:dPt>
          <c:dPt>
            <c:idx val="17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3-3414-4D8F-A082-7711C821487A}"/>
              </c:ext>
            </c:extLst>
          </c:dPt>
          <c:dPt>
            <c:idx val="18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5-3414-4D8F-A082-7711C821487A}"/>
              </c:ext>
            </c:extLst>
          </c:dPt>
          <c:dPt>
            <c:idx val="19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7-3414-4D8F-A082-7711C821487A}"/>
              </c:ext>
            </c:extLst>
          </c:dPt>
          <c:dPt>
            <c:idx val="20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9-3414-4D8F-A082-7711C821487A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B-3414-4D8F-A082-7711C821487A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D-3414-4D8F-A082-7711C821487A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F-3414-4D8F-A082-7711C821487A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1-3414-4D8F-A082-7711C821487A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3-3414-4D8F-A082-7711C821487A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5-3414-4D8F-A082-7711C821487A}"/>
              </c:ext>
            </c:extLst>
          </c:dPt>
          <c:dPt>
            <c:idx val="30"/>
            <c:invertIfNegative val="0"/>
            <c:bubble3D val="0"/>
            <c:spPr>
              <a:solidFill>
                <a:srgbClr val="FAC090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7-3414-4D8F-A082-7711C821487A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9-3414-4D8F-A082-7711C821487A}"/>
              </c:ext>
            </c:extLst>
          </c:dPt>
          <c:dPt>
            <c:idx val="32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B-3414-4D8F-A082-7711C821487A}"/>
              </c:ext>
            </c:extLst>
          </c:dPt>
          <c:dPt>
            <c:idx val="33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D-3414-4D8F-A082-7711C821487A}"/>
              </c:ext>
            </c:extLst>
          </c:dPt>
          <c:dPt>
            <c:idx val="34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F-3414-4D8F-A082-7711C821487A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41-3414-4D8F-A082-7711C821487A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43-3414-4D8F-A082-7711C821487A}"/>
              </c:ext>
            </c:extLst>
          </c:dPt>
          <c:dLbls>
            <c:dLbl>
              <c:idx val="21"/>
              <c:layout>
                <c:manualLayout>
                  <c:x val="7.7971808814668594E-17"/>
                  <c:y val="5.734513274336279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3414-4D8F-A082-7711C821487A}"/>
                </c:ext>
              </c:extLst>
            </c:dLbl>
            <c:dLbl>
              <c:idx val="22"/>
              <c:layout>
                <c:manualLayout>
                  <c:x val="0"/>
                  <c:y val="5.394642134976666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3414-4D8F-A082-7711C82148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000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'Przestęsptwa 2021'!$B$88:$B$124</c:f>
              <c:strCache>
                <c:ptCount val="37"/>
                <c:pt idx="0">
                  <c:v>Wzgórze Mickiewicza</c:v>
                </c:pt>
                <c:pt idx="1">
                  <c:v>Piecki-Migowo</c:v>
                </c:pt>
                <c:pt idx="2">
                  <c:v>Brętowo</c:v>
                </c:pt>
                <c:pt idx="3">
                  <c:v>Chełm</c:v>
                </c:pt>
                <c:pt idx="4">
                  <c:v>VII Dwór</c:v>
                </c:pt>
                <c:pt idx="5">
                  <c:v>Ujeścisko - Łostowice</c:v>
                </c:pt>
                <c:pt idx="6">
                  <c:v>Zaspa Młyniec</c:v>
                </c:pt>
                <c:pt idx="7">
                  <c:v>Suchanino</c:v>
                </c:pt>
                <c:pt idx="8">
                  <c:v>Strzyża</c:v>
                </c:pt>
                <c:pt idx="9">
                  <c:v>Stogi</c:v>
                </c:pt>
                <c:pt idx="10">
                  <c:v>Oliwa</c:v>
                </c:pt>
                <c:pt idx="11">
                  <c:v>Orunia Górna - Gdańsk Południe</c:v>
                </c:pt>
                <c:pt idx="12">
                  <c:v>Przymorze Wielkie</c:v>
                </c:pt>
                <c:pt idx="13">
                  <c:v>Zaspa Rozstaje</c:v>
                </c:pt>
                <c:pt idx="14">
                  <c:v>Jasień</c:v>
                </c:pt>
                <c:pt idx="15">
                  <c:v>Kokoszki</c:v>
                </c:pt>
                <c:pt idx="16">
                  <c:v>Osowa</c:v>
                </c:pt>
                <c:pt idx="17">
                  <c:v>Wyspa Sobieszewska</c:v>
                </c:pt>
                <c:pt idx="18">
                  <c:v>Żabianka - Wejhera - Jelitkowo - Tysiąclecia</c:v>
                </c:pt>
                <c:pt idx="19">
                  <c:v>Brzeźno</c:v>
                </c:pt>
                <c:pt idx="20">
                  <c:v>Siedlce</c:v>
                </c:pt>
                <c:pt idx="21">
                  <c:v>Nowy Port</c:v>
                </c:pt>
                <c:pt idx="22">
                  <c:v>Wrzeszcz Górny</c:v>
                </c:pt>
                <c:pt idx="23">
                  <c:v>Krakowiec - Górki Zachodnie</c:v>
                </c:pt>
                <c:pt idx="24">
                  <c:v>Wrzeszcz Dolny</c:v>
                </c:pt>
                <c:pt idx="25">
                  <c:v>Przymorze Małe</c:v>
                </c:pt>
                <c:pt idx="26">
                  <c:v>Matarnia</c:v>
                </c:pt>
                <c:pt idx="27">
                  <c:v>Aniołki</c:v>
                </c:pt>
                <c:pt idx="28">
                  <c:v>Olszynka</c:v>
                </c:pt>
                <c:pt idx="29">
                  <c:v>Orunia - Św. Wojciech - Lipce</c:v>
                </c:pt>
                <c:pt idx="30">
                  <c:v>Przeróbka</c:v>
                </c:pt>
                <c:pt idx="31">
                  <c:v>Młyniska</c:v>
                </c:pt>
                <c:pt idx="32">
                  <c:v>Śródmieście</c:v>
                </c:pt>
                <c:pt idx="33">
                  <c:v>Letnica</c:v>
                </c:pt>
                <c:pt idx="34">
                  <c:v>Rudniki</c:v>
                </c:pt>
                <c:pt idx="36">
                  <c:v>GDAŃSK</c:v>
                </c:pt>
              </c:strCache>
            </c:strRef>
          </c:cat>
          <c:val>
            <c:numRef>
              <c:f>'Przestęsptwa 2021'!$C$88:$C$124</c:f>
              <c:numCache>
                <c:formatCode>0.0</c:formatCode>
                <c:ptCount val="37"/>
                <c:pt idx="0">
                  <c:v>10.025062656641603</c:v>
                </c:pt>
                <c:pt idx="1">
                  <c:v>10.971900347624565</c:v>
                </c:pt>
                <c:pt idx="2">
                  <c:v>13.946075175986186</c:v>
                </c:pt>
                <c:pt idx="3">
                  <c:v>14.213036565977742</c:v>
                </c:pt>
                <c:pt idx="4">
                  <c:v>15.168539325842696</c:v>
                </c:pt>
                <c:pt idx="5">
                  <c:v>15.339233038348082</c:v>
                </c:pt>
                <c:pt idx="6">
                  <c:v>16.662736775917629</c:v>
                </c:pt>
                <c:pt idx="7">
                  <c:v>17.841034379071868</c:v>
                </c:pt>
                <c:pt idx="8">
                  <c:v>18.045690151660587</c:v>
                </c:pt>
                <c:pt idx="9">
                  <c:v>18.104149715215623</c:v>
                </c:pt>
                <c:pt idx="10">
                  <c:v>18.949065985754604</c:v>
                </c:pt>
                <c:pt idx="11">
                  <c:v>18.950850661625708</c:v>
                </c:pt>
                <c:pt idx="12">
                  <c:v>19.883040935672515</c:v>
                </c:pt>
                <c:pt idx="13">
                  <c:v>19.912198181248041</c:v>
                </c:pt>
                <c:pt idx="14">
                  <c:v>19.91727362647244</c:v>
                </c:pt>
                <c:pt idx="15">
                  <c:v>21.1386977764483</c:v>
                </c:pt>
                <c:pt idx="16">
                  <c:v>21.937955753306142</c:v>
                </c:pt>
                <c:pt idx="17">
                  <c:v>21.94452910697958</c:v>
                </c:pt>
                <c:pt idx="18">
                  <c:v>23.190304618408121</c:v>
                </c:pt>
                <c:pt idx="19">
                  <c:v>23.452484742807322</c:v>
                </c:pt>
                <c:pt idx="20">
                  <c:v>24.837133550488598</c:v>
                </c:pt>
                <c:pt idx="21">
                  <c:v>25.404676258992808</c:v>
                </c:pt>
                <c:pt idx="22">
                  <c:v>28.761165411775711</c:v>
                </c:pt>
                <c:pt idx="23">
                  <c:v>29.971181556195965</c:v>
                </c:pt>
                <c:pt idx="24">
                  <c:v>30.888556266158663</c:v>
                </c:pt>
                <c:pt idx="25">
                  <c:v>31.146368424474936</c:v>
                </c:pt>
                <c:pt idx="26">
                  <c:v>31.695984069034186</c:v>
                </c:pt>
                <c:pt idx="27">
                  <c:v>33.280507131537242</c:v>
                </c:pt>
                <c:pt idx="28">
                  <c:v>35.872907413734204</c:v>
                </c:pt>
                <c:pt idx="29">
                  <c:v>37.885662431941924</c:v>
                </c:pt>
                <c:pt idx="30">
                  <c:v>39.733333333333334</c:v>
                </c:pt>
                <c:pt idx="31">
                  <c:v>49.607275733774287</c:v>
                </c:pt>
                <c:pt idx="32">
                  <c:v>62.886893781002748</c:v>
                </c:pt>
                <c:pt idx="33">
                  <c:v>100.43907793633369</c:v>
                </c:pt>
                <c:pt idx="34">
                  <c:v>121.71372930866602</c:v>
                </c:pt>
                <c:pt idx="36">
                  <c:v>24.970777895870174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3414-4D8F-A082-7711C821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8524376"/>
        <c:axId val="368526728"/>
      </c:barChart>
      <c:catAx>
        <c:axId val="368524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68526728"/>
        <c:crosses val="autoZero"/>
        <c:auto val="1"/>
        <c:lblAlgn val="ctr"/>
        <c:lblOffset val="100"/>
        <c:noMultiLvlLbl val="0"/>
      </c:catAx>
      <c:valAx>
        <c:axId val="36852672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.0" sourceLinked="1"/>
        <c:majorTickMark val="out"/>
        <c:minorTickMark val="none"/>
        <c:tickLblPos val="nextTo"/>
        <c:crossAx val="36852437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pl-PL" sz="1400" b="0"/>
              <a:t>Liczba</a:t>
            </a:r>
            <a:r>
              <a:rPr lang="pl-PL" sz="1400" b="0" baseline="0"/>
              <a:t> przestępstw w podziale na dzielnice Gdańska w 2021 r. </a:t>
            </a:r>
            <a:endParaRPr lang="en-US" sz="1400" b="0"/>
          </a:p>
        </c:rich>
      </c:tx>
      <c:overlay val="0"/>
      <c:spPr>
        <a:solidFill>
          <a:srgbClr val="F2F2F2"/>
        </a:solidFill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'Przestęsptwa 2021'!$C$45</c:f>
              <c:strCache>
                <c:ptCount val="1"/>
                <c:pt idx="0">
                  <c:v>LICZBA PRZESTĘPSTW W 2021 R.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prstClr val="black">
                  <a:lumMod val="95000"/>
                  <a:lumOff val="5000"/>
                </a:prstClr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C95E-49D1-8E0F-6DF027045AEE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C95E-49D1-8E0F-6DF027045AEE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C95E-49D1-8E0F-6DF027045AEE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C95E-49D1-8E0F-6DF027045AEE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C95E-49D1-8E0F-6DF027045AEE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B-C95E-49D1-8E0F-6DF027045AEE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C95E-49D1-8E0F-6DF027045AEE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F-C95E-49D1-8E0F-6DF027045AEE}"/>
              </c:ext>
            </c:extLst>
          </c:dPt>
          <c:dPt>
            <c:idx val="8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1-C95E-49D1-8E0F-6DF027045AEE}"/>
              </c:ext>
            </c:extLst>
          </c:dPt>
          <c:dPt>
            <c:idx val="9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C95E-49D1-8E0F-6DF027045AEE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C95E-49D1-8E0F-6DF027045AEE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C95E-49D1-8E0F-6DF027045AEE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9-C95E-49D1-8E0F-6DF027045AEE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B-C95E-49D1-8E0F-6DF027045AEE}"/>
              </c:ext>
            </c:extLst>
          </c:dPt>
          <c:dPt>
            <c:idx val="14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D-C95E-49D1-8E0F-6DF027045AEE}"/>
              </c:ext>
            </c:extLst>
          </c:dPt>
          <c:dPt>
            <c:idx val="15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F-C95E-49D1-8E0F-6DF027045AEE}"/>
              </c:ext>
            </c:extLst>
          </c:dPt>
          <c:dPt>
            <c:idx val="16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1-C95E-49D1-8E0F-6DF027045AEE}"/>
              </c:ext>
            </c:extLst>
          </c:dPt>
          <c:dPt>
            <c:idx val="17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3-C95E-49D1-8E0F-6DF027045AEE}"/>
              </c:ext>
            </c:extLst>
          </c:dPt>
          <c:dPt>
            <c:idx val="18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5-C95E-49D1-8E0F-6DF027045AEE}"/>
              </c:ext>
            </c:extLst>
          </c:dPt>
          <c:dPt>
            <c:idx val="19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7-C95E-49D1-8E0F-6DF027045AEE}"/>
              </c:ext>
            </c:extLst>
          </c:dPt>
          <c:dPt>
            <c:idx val="20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9-C95E-49D1-8E0F-6DF027045AEE}"/>
              </c:ext>
            </c:extLst>
          </c:dPt>
          <c:dPt>
            <c:idx val="21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B-C95E-49D1-8E0F-6DF027045AEE}"/>
              </c:ext>
            </c:extLst>
          </c:dPt>
          <c:dPt>
            <c:idx val="22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D-C95E-49D1-8E0F-6DF027045AEE}"/>
              </c:ext>
            </c:extLst>
          </c:dPt>
          <c:dPt>
            <c:idx val="23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F-C95E-49D1-8E0F-6DF027045AEE}"/>
              </c:ext>
            </c:extLst>
          </c:dPt>
          <c:dPt>
            <c:idx val="24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1-C95E-49D1-8E0F-6DF027045AEE}"/>
              </c:ext>
            </c:extLst>
          </c:dPt>
          <c:dPt>
            <c:idx val="25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3-C95E-49D1-8E0F-6DF027045AEE}"/>
              </c:ext>
            </c:extLst>
          </c:dPt>
          <c:dPt>
            <c:idx val="26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5-C95E-49D1-8E0F-6DF027045AEE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7-C95E-49D1-8E0F-6DF027045AEE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9-C95E-49D1-8E0F-6DF027045AEE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B-C95E-49D1-8E0F-6DF027045AEE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D-C95E-49D1-8E0F-6DF027045AEE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F-C95E-49D1-8E0F-6DF027045AEE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41-C95E-49D1-8E0F-6DF027045AEE}"/>
              </c:ext>
            </c:extLst>
          </c:dPt>
          <c:dPt>
            <c:idx val="33"/>
            <c:invertIfNegative val="0"/>
            <c:bubble3D val="0"/>
            <c:spPr>
              <a:solidFill>
                <a:srgbClr val="F6885C"/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43-C95E-49D1-8E0F-6DF027045AEE}"/>
              </c:ext>
            </c:extLst>
          </c:dPt>
          <c:dPt>
            <c:idx val="34"/>
            <c:invertIfNegative val="0"/>
            <c:bubble3D val="0"/>
            <c:spPr>
              <a:solidFill>
                <a:srgbClr val="FF0000"/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45-C95E-49D1-8E0F-6DF027045A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00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'Przestęsptwa 2021'!$B$46:$B$80</c:f>
              <c:strCache>
                <c:ptCount val="35"/>
                <c:pt idx="0">
                  <c:v>Wzgórze Mickiewicza</c:v>
                </c:pt>
                <c:pt idx="1">
                  <c:v>Krakowiec - Górki Zachodnie</c:v>
                </c:pt>
                <c:pt idx="2">
                  <c:v>VII Dwór</c:v>
                </c:pt>
                <c:pt idx="3">
                  <c:v>Wyspa Sobieszewska</c:v>
                </c:pt>
                <c:pt idx="4">
                  <c:v>Strzyża</c:v>
                </c:pt>
                <c:pt idx="5">
                  <c:v>Olszynka</c:v>
                </c:pt>
                <c:pt idx="6">
                  <c:v>Brętowo</c:v>
                </c:pt>
                <c:pt idx="7">
                  <c:v>Młyniska</c:v>
                </c:pt>
                <c:pt idx="8">
                  <c:v>Rudniki</c:v>
                </c:pt>
                <c:pt idx="9">
                  <c:v>Aniołki</c:v>
                </c:pt>
                <c:pt idx="10">
                  <c:v>Przeróbka</c:v>
                </c:pt>
                <c:pt idx="11">
                  <c:v>Suchanino</c:v>
                </c:pt>
                <c:pt idx="12">
                  <c:v>Stogi</c:v>
                </c:pt>
                <c:pt idx="13">
                  <c:v>Letnica</c:v>
                </c:pt>
                <c:pt idx="14">
                  <c:v>Matarnia</c:v>
                </c:pt>
                <c:pt idx="15">
                  <c:v>Kokoszki</c:v>
                </c:pt>
                <c:pt idx="16">
                  <c:v>Zaspa Młyniec</c:v>
                </c:pt>
                <c:pt idx="17">
                  <c:v>Nowy Port</c:v>
                </c:pt>
                <c:pt idx="18">
                  <c:v>Zaspa Rozstaje</c:v>
                </c:pt>
                <c:pt idx="19">
                  <c:v>Brzeźno</c:v>
                </c:pt>
                <c:pt idx="20">
                  <c:v>Oliwa</c:v>
                </c:pt>
                <c:pt idx="21">
                  <c:v>Piecki-Migowo</c:v>
                </c:pt>
                <c:pt idx="22">
                  <c:v>Siedlce</c:v>
                </c:pt>
                <c:pt idx="23">
                  <c:v>Żabianka - Wejhera - Jelitkowo - Tysiąclecia</c:v>
                </c:pt>
                <c:pt idx="24">
                  <c:v>Osowa</c:v>
                </c:pt>
                <c:pt idx="25">
                  <c:v>Orunia Górna - Gdańsk Południe</c:v>
                </c:pt>
                <c:pt idx="26">
                  <c:v>Ujeścisko - Łostowice</c:v>
                </c:pt>
                <c:pt idx="27">
                  <c:v>Jasień</c:v>
                </c:pt>
                <c:pt idx="28">
                  <c:v>Chełm</c:v>
                </c:pt>
                <c:pt idx="29">
                  <c:v>Przymorze Małe</c:v>
                </c:pt>
                <c:pt idx="30">
                  <c:v>Orunia - Św. Wojciech - Lipce</c:v>
                </c:pt>
                <c:pt idx="31">
                  <c:v>Przymorze Wielkie</c:v>
                </c:pt>
                <c:pt idx="32">
                  <c:v>Wrzeszcz Górny</c:v>
                </c:pt>
                <c:pt idx="33">
                  <c:v>Wrzeszcz Dolny</c:v>
                </c:pt>
                <c:pt idx="34">
                  <c:v>Śródmieście</c:v>
                </c:pt>
              </c:strCache>
            </c:strRef>
          </c:cat>
          <c:val>
            <c:numRef>
              <c:f>'Przestęsptwa 2021'!$C$46:$C$80</c:f>
              <c:numCache>
                <c:formatCode>#,##0</c:formatCode>
                <c:ptCount val="35"/>
                <c:pt idx="0">
                  <c:v>24</c:v>
                </c:pt>
                <c:pt idx="1">
                  <c:v>52</c:v>
                </c:pt>
                <c:pt idx="2">
                  <c:v>54</c:v>
                </c:pt>
                <c:pt idx="3">
                  <c:v>72</c:v>
                </c:pt>
                <c:pt idx="4">
                  <c:v>94</c:v>
                </c:pt>
                <c:pt idx="5">
                  <c:v>105</c:v>
                </c:pt>
                <c:pt idx="6">
                  <c:v>105</c:v>
                </c:pt>
                <c:pt idx="7">
                  <c:v>120</c:v>
                </c:pt>
                <c:pt idx="8">
                  <c:v>125</c:v>
                </c:pt>
                <c:pt idx="9">
                  <c:v>147</c:v>
                </c:pt>
                <c:pt idx="10">
                  <c:v>149</c:v>
                </c:pt>
                <c:pt idx="11">
                  <c:v>178</c:v>
                </c:pt>
                <c:pt idx="12">
                  <c:v>178</c:v>
                </c:pt>
                <c:pt idx="13">
                  <c:v>183</c:v>
                </c:pt>
                <c:pt idx="14">
                  <c:v>191</c:v>
                </c:pt>
                <c:pt idx="15">
                  <c:v>212</c:v>
                </c:pt>
                <c:pt idx="16">
                  <c:v>212</c:v>
                </c:pt>
                <c:pt idx="17">
                  <c:v>226</c:v>
                </c:pt>
                <c:pt idx="18">
                  <c:v>254</c:v>
                </c:pt>
                <c:pt idx="19">
                  <c:v>269</c:v>
                </c:pt>
                <c:pt idx="20">
                  <c:v>282</c:v>
                </c:pt>
                <c:pt idx="21">
                  <c:v>303</c:v>
                </c:pt>
                <c:pt idx="22">
                  <c:v>305</c:v>
                </c:pt>
                <c:pt idx="23">
                  <c:v>354</c:v>
                </c:pt>
                <c:pt idx="24">
                  <c:v>355</c:v>
                </c:pt>
                <c:pt idx="25">
                  <c:v>401</c:v>
                </c:pt>
                <c:pt idx="26">
                  <c:v>442</c:v>
                </c:pt>
                <c:pt idx="27">
                  <c:v>443</c:v>
                </c:pt>
                <c:pt idx="28">
                  <c:v>447</c:v>
                </c:pt>
                <c:pt idx="29">
                  <c:v>479</c:v>
                </c:pt>
                <c:pt idx="30">
                  <c:v>501</c:v>
                </c:pt>
                <c:pt idx="31">
                  <c:v>510</c:v>
                </c:pt>
                <c:pt idx="32">
                  <c:v>615</c:v>
                </c:pt>
                <c:pt idx="33">
                  <c:v>681</c:v>
                </c:pt>
                <c:pt idx="34">
                  <c:v>1534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C95E-49D1-8E0F-6DF027045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8527904"/>
        <c:axId val="368528688"/>
      </c:barChart>
      <c:catAx>
        <c:axId val="368527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68528688"/>
        <c:crosses val="autoZero"/>
        <c:auto val="1"/>
        <c:lblAlgn val="ctr"/>
        <c:lblOffset val="100"/>
        <c:noMultiLvlLbl val="0"/>
      </c:catAx>
      <c:valAx>
        <c:axId val="368528688"/>
        <c:scaling>
          <c:orientation val="minMax"/>
          <c:max val="250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368527904"/>
        <c:crosses val="autoZero"/>
        <c:crossBetween val="between"/>
        <c:majorUnit val="250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 b="0"/>
              <a:t>Liczba przestępstw na 1000 mieszkańców w podziale na dzielnice Gdańska</a:t>
            </a:r>
            <a:r>
              <a:rPr lang="pl-PL" sz="1400" b="0"/>
              <a:t> w 2022 r.</a:t>
            </a:r>
            <a:endParaRPr lang="en-US" sz="1400" b="0"/>
          </a:p>
        </c:rich>
      </c:tx>
      <c:overlay val="0"/>
      <c:spPr>
        <a:solidFill>
          <a:srgbClr val="F2F2F2"/>
        </a:solidFill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'Przestęsptwa 2022'!$C$86</c:f>
              <c:strCache>
                <c:ptCount val="1"/>
                <c:pt idx="0">
                  <c:v>PRZESTĘPSTWA NA 1000 MIESZKAŃCÓW W 2022 R.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3CD2-4C8B-9BDE-E4459221063C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3CD2-4C8B-9BDE-E4459221063C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3CD2-4C8B-9BDE-E4459221063C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3CD2-4C8B-9BDE-E4459221063C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3CD2-4C8B-9BDE-E4459221063C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B-3CD2-4C8B-9BDE-E4459221063C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3CD2-4C8B-9BDE-E4459221063C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F-3CD2-4C8B-9BDE-E4459221063C}"/>
              </c:ext>
            </c:extLst>
          </c:dPt>
          <c:dPt>
            <c:idx val="8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1-3CD2-4C8B-9BDE-E4459221063C}"/>
              </c:ext>
            </c:extLst>
          </c:dPt>
          <c:dPt>
            <c:idx val="9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3CD2-4C8B-9BDE-E4459221063C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3CD2-4C8B-9BDE-E4459221063C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3CD2-4C8B-9BDE-E4459221063C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9-3CD2-4C8B-9BDE-E4459221063C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B-3CD2-4C8B-9BDE-E4459221063C}"/>
              </c:ext>
            </c:extLst>
          </c:dPt>
          <c:dPt>
            <c:idx val="14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D-3CD2-4C8B-9BDE-E4459221063C}"/>
              </c:ext>
            </c:extLst>
          </c:dPt>
          <c:dPt>
            <c:idx val="15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F-3CD2-4C8B-9BDE-E4459221063C}"/>
              </c:ext>
            </c:extLst>
          </c:dPt>
          <c:dPt>
            <c:idx val="16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1-3CD2-4C8B-9BDE-E4459221063C}"/>
              </c:ext>
            </c:extLst>
          </c:dPt>
          <c:dPt>
            <c:idx val="17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3-3CD2-4C8B-9BDE-E4459221063C}"/>
              </c:ext>
            </c:extLst>
          </c:dPt>
          <c:dPt>
            <c:idx val="18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5-3CD2-4C8B-9BDE-E4459221063C}"/>
              </c:ext>
            </c:extLst>
          </c:dPt>
          <c:dPt>
            <c:idx val="19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7-3CD2-4C8B-9BDE-E4459221063C}"/>
              </c:ext>
            </c:extLst>
          </c:dPt>
          <c:dPt>
            <c:idx val="20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9-3CD2-4C8B-9BDE-E4459221063C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B-3CD2-4C8B-9BDE-E4459221063C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D-3CD2-4C8B-9BDE-E4459221063C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F-3CD2-4C8B-9BDE-E4459221063C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1-3CD2-4C8B-9BDE-E4459221063C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3-3CD2-4C8B-9BDE-E4459221063C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5-3CD2-4C8B-9BDE-E4459221063C}"/>
              </c:ext>
            </c:extLst>
          </c:dPt>
          <c:dPt>
            <c:idx val="30"/>
            <c:invertIfNegative val="0"/>
            <c:bubble3D val="0"/>
            <c:spPr>
              <a:solidFill>
                <a:srgbClr val="FAC090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7-3CD2-4C8B-9BDE-E4459221063C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9-3CD2-4C8B-9BDE-E4459221063C}"/>
              </c:ext>
            </c:extLst>
          </c:dPt>
          <c:dPt>
            <c:idx val="32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B-3CD2-4C8B-9BDE-E4459221063C}"/>
              </c:ext>
            </c:extLst>
          </c:dPt>
          <c:dPt>
            <c:idx val="33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D-3CD2-4C8B-9BDE-E4459221063C}"/>
              </c:ext>
            </c:extLst>
          </c:dPt>
          <c:dPt>
            <c:idx val="34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F-3CD2-4C8B-9BDE-E4459221063C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41-3CD2-4C8B-9BDE-E4459221063C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43-3CD2-4C8B-9BDE-E4459221063C}"/>
              </c:ext>
            </c:extLst>
          </c:dPt>
          <c:dLbls>
            <c:dLbl>
              <c:idx val="21"/>
              <c:layout>
                <c:manualLayout>
                  <c:x val="7.7971808814668594E-17"/>
                  <c:y val="5.734513274336279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3CD2-4C8B-9BDE-E4459221063C}"/>
                </c:ext>
              </c:extLst>
            </c:dLbl>
            <c:dLbl>
              <c:idx val="22"/>
              <c:layout>
                <c:manualLayout>
                  <c:x val="0"/>
                  <c:y val="5.394642134976666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3CD2-4C8B-9BDE-E445922106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000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'Przestęsptwa 2022'!$B$87:$B$123</c:f>
              <c:strCache>
                <c:ptCount val="37"/>
                <c:pt idx="0">
                  <c:v>Wzgórze Mickiewicza</c:v>
                </c:pt>
                <c:pt idx="1">
                  <c:v>Brętowo</c:v>
                </c:pt>
                <c:pt idx="2">
                  <c:v>Piecki-Migowo</c:v>
                </c:pt>
                <c:pt idx="3">
                  <c:v>Zaspa Rozstaje</c:v>
                </c:pt>
                <c:pt idx="4">
                  <c:v>Strzyża</c:v>
                </c:pt>
                <c:pt idx="5">
                  <c:v>Ujeścisko - Łostowice</c:v>
                </c:pt>
                <c:pt idx="6">
                  <c:v>Chełm</c:v>
                </c:pt>
                <c:pt idx="7">
                  <c:v>Zaspa Młyniec</c:v>
                </c:pt>
                <c:pt idx="8">
                  <c:v>Suchanino</c:v>
                </c:pt>
                <c:pt idx="9">
                  <c:v>Siedlce</c:v>
                </c:pt>
                <c:pt idx="10">
                  <c:v>Jasień</c:v>
                </c:pt>
                <c:pt idx="11">
                  <c:v>Osowa</c:v>
                </c:pt>
                <c:pt idx="12">
                  <c:v>Żabianka - Wejhera - Jelitkowo - Tysiąclecia</c:v>
                </c:pt>
                <c:pt idx="13">
                  <c:v>Aniołki</c:v>
                </c:pt>
                <c:pt idx="14">
                  <c:v>Orunia Górna - Gdańsk Południe</c:v>
                </c:pt>
                <c:pt idx="15">
                  <c:v>Brzeźno</c:v>
                </c:pt>
                <c:pt idx="16">
                  <c:v>Kokoszki</c:v>
                </c:pt>
                <c:pt idx="17">
                  <c:v>Przymorze Małe</c:v>
                </c:pt>
                <c:pt idx="18">
                  <c:v>Stogi</c:v>
                </c:pt>
                <c:pt idx="19">
                  <c:v>Oliwa</c:v>
                </c:pt>
                <c:pt idx="20">
                  <c:v>Nowy Port</c:v>
                </c:pt>
                <c:pt idx="21">
                  <c:v>Wyspa Sobieszewska</c:v>
                </c:pt>
                <c:pt idx="22">
                  <c:v>Przymorze Wielkie</c:v>
                </c:pt>
                <c:pt idx="23">
                  <c:v>Orunia - Św. Wojciech - Lipce</c:v>
                </c:pt>
                <c:pt idx="24">
                  <c:v>Olszynka</c:v>
                </c:pt>
                <c:pt idx="25">
                  <c:v>VII Dwór</c:v>
                </c:pt>
                <c:pt idx="26">
                  <c:v>Krakowiec - Górki Zachodnie</c:v>
                </c:pt>
                <c:pt idx="27">
                  <c:v>Wrzeszcz Górny</c:v>
                </c:pt>
                <c:pt idx="28">
                  <c:v>Matarnia</c:v>
                </c:pt>
                <c:pt idx="29">
                  <c:v>Wrzeszcz Dolny</c:v>
                </c:pt>
                <c:pt idx="30">
                  <c:v>Przeróbka</c:v>
                </c:pt>
                <c:pt idx="31">
                  <c:v>Młyniska</c:v>
                </c:pt>
                <c:pt idx="32">
                  <c:v>Letnica</c:v>
                </c:pt>
                <c:pt idx="33">
                  <c:v>Śródmieście</c:v>
                </c:pt>
                <c:pt idx="34">
                  <c:v>Rudniki</c:v>
                </c:pt>
                <c:pt idx="36">
                  <c:v>GDAŃSK</c:v>
                </c:pt>
              </c:strCache>
            </c:strRef>
          </c:cat>
          <c:val>
            <c:numRef>
              <c:f>'Przestęsptwa 2022'!$C$87:$C$123</c:f>
              <c:numCache>
                <c:formatCode>0.0</c:formatCode>
                <c:ptCount val="37"/>
                <c:pt idx="0">
                  <c:v>10.058675607711651</c:v>
                </c:pt>
                <c:pt idx="1">
                  <c:v>10.225763612217795</c:v>
                </c:pt>
                <c:pt idx="2">
                  <c:v>12.013750678487426</c:v>
                </c:pt>
                <c:pt idx="3">
                  <c:v>12.291831879460744</c:v>
                </c:pt>
                <c:pt idx="4">
                  <c:v>12.614011255579275</c:v>
                </c:pt>
                <c:pt idx="5">
                  <c:v>13.978861234231163</c:v>
                </c:pt>
                <c:pt idx="6">
                  <c:v>15.111082532231618</c:v>
                </c:pt>
                <c:pt idx="7">
                  <c:v>16.2936012022463</c:v>
                </c:pt>
                <c:pt idx="8">
                  <c:v>16.890162759750233</c:v>
                </c:pt>
                <c:pt idx="9">
                  <c:v>17.056690837178643</c:v>
                </c:pt>
                <c:pt idx="10">
                  <c:v>17.859442751041087</c:v>
                </c:pt>
                <c:pt idx="11">
                  <c:v>18.456790123456791</c:v>
                </c:pt>
                <c:pt idx="12">
                  <c:v>18.623589880515318</c:v>
                </c:pt>
                <c:pt idx="13">
                  <c:v>19.007881316643488</c:v>
                </c:pt>
                <c:pt idx="14">
                  <c:v>19.790614381485902</c:v>
                </c:pt>
                <c:pt idx="15">
                  <c:v>19.949676491732568</c:v>
                </c:pt>
                <c:pt idx="16">
                  <c:v>20.408163265306122</c:v>
                </c:pt>
                <c:pt idx="17">
                  <c:v>20.455143383320181</c:v>
                </c:pt>
                <c:pt idx="18">
                  <c:v>20.903010033444815</c:v>
                </c:pt>
                <c:pt idx="19">
                  <c:v>23.061792036898868</c:v>
                </c:pt>
                <c:pt idx="20">
                  <c:v>23.196768609347949</c:v>
                </c:pt>
                <c:pt idx="21">
                  <c:v>23.845918679302965</c:v>
                </c:pt>
                <c:pt idx="22">
                  <c:v>25.992664646786796</c:v>
                </c:pt>
                <c:pt idx="23">
                  <c:v>26.22594661700807</c:v>
                </c:pt>
                <c:pt idx="24">
                  <c:v>26.524285222183945</c:v>
                </c:pt>
                <c:pt idx="25">
                  <c:v>26.938775510204081</c:v>
                </c:pt>
                <c:pt idx="26">
                  <c:v>27.40524781341108</c:v>
                </c:pt>
                <c:pt idx="27">
                  <c:v>27.766012518236153</c:v>
                </c:pt>
                <c:pt idx="28">
                  <c:v>30.924425334876798</c:v>
                </c:pt>
                <c:pt idx="29">
                  <c:v>30.92548733831299</c:v>
                </c:pt>
                <c:pt idx="30">
                  <c:v>34.896401308615047</c:v>
                </c:pt>
                <c:pt idx="31">
                  <c:v>46.422487223168659</c:v>
                </c:pt>
                <c:pt idx="32">
                  <c:v>73.9051094890511</c:v>
                </c:pt>
                <c:pt idx="33">
                  <c:v>78.521461981042265</c:v>
                </c:pt>
                <c:pt idx="34">
                  <c:v>85.487077534791254</c:v>
                </c:pt>
                <c:pt idx="36">
                  <c:v>27.974000689060357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3CD2-4C8B-9BDE-E44592210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8524376"/>
        <c:axId val="368526728"/>
      </c:barChart>
      <c:catAx>
        <c:axId val="368524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68526728"/>
        <c:crosses val="autoZero"/>
        <c:auto val="1"/>
        <c:lblAlgn val="ctr"/>
        <c:lblOffset val="100"/>
        <c:noMultiLvlLbl val="0"/>
      </c:catAx>
      <c:valAx>
        <c:axId val="36852672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.0" sourceLinked="1"/>
        <c:majorTickMark val="out"/>
        <c:minorTickMark val="none"/>
        <c:tickLblPos val="nextTo"/>
        <c:crossAx val="36852437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pl-PL" sz="1400" b="0"/>
              <a:t>Liczba</a:t>
            </a:r>
            <a:r>
              <a:rPr lang="pl-PL" sz="1400" b="0" baseline="0"/>
              <a:t> przestępstw w podziale na dzielnice Gdańska w 2022 r. </a:t>
            </a:r>
            <a:endParaRPr lang="en-US" sz="1400" b="0"/>
          </a:p>
        </c:rich>
      </c:tx>
      <c:overlay val="0"/>
      <c:spPr>
        <a:solidFill>
          <a:srgbClr val="F2F2F2"/>
        </a:solidFill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'Przestęsptwa 2022'!$C$45</c:f>
              <c:strCache>
                <c:ptCount val="1"/>
                <c:pt idx="0">
                  <c:v>LICZBA PRZESTĘPSTW W 2022 R.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prstClr val="black">
                  <a:lumMod val="95000"/>
                  <a:lumOff val="5000"/>
                </a:prstClr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2BB5-4C6C-9288-9B6B11F0DF4E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2BB5-4C6C-9288-9B6B11F0DF4E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2BB5-4C6C-9288-9B6B11F0DF4E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2BB5-4C6C-9288-9B6B11F0DF4E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2BB5-4C6C-9288-9B6B11F0DF4E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B-2BB5-4C6C-9288-9B6B11F0DF4E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2BB5-4C6C-9288-9B6B11F0DF4E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F-2BB5-4C6C-9288-9B6B11F0DF4E}"/>
              </c:ext>
            </c:extLst>
          </c:dPt>
          <c:dPt>
            <c:idx val="8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1-2BB5-4C6C-9288-9B6B11F0DF4E}"/>
              </c:ext>
            </c:extLst>
          </c:dPt>
          <c:dPt>
            <c:idx val="9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2BB5-4C6C-9288-9B6B11F0DF4E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2BB5-4C6C-9288-9B6B11F0DF4E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2BB5-4C6C-9288-9B6B11F0DF4E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9-2BB5-4C6C-9288-9B6B11F0DF4E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B-2BB5-4C6C-9288-9B6B11F0DF4E}"/>
              </c:ext>
            </c:extLst>
          </c:dPt>
          <c:dPt>
            <c:idx val="14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D-2BB5-4C6C-9288-9B6B11F0DF4E}"/>
              </c:ext>
            </c:extLst>
          </c:dPt>
          <c:dPt>
            <c:idx val="15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F-2BB5-4C6C-9288-9B6B11F0DF4E}"/>
              </c:ext>
            </c:extLst>
          </c:dPt>
          <c:dPt>
            <c:idx val="16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1-2BB5-4C6C-9288-9B6B11F0DF4E}"/>
              </c:ext>
            </c:extLst>
          </c:dPt>
          <c:dPt>
            <c:idx val="17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3-2BB5-4C6C-9288-9B6B11F0DF4E}"/>
              </c:ext>
            </c:extLst>
          </c:dPt>
          <c:dPt>
            <c:idx val="18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5-2BB5-4C6C-9288-9B6B11F0DF4E}"/>
              </c:ext>
            </c:extLst>
          </c:dPt>
          <c:dPt>
            <c:idx val="19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7-2BB5-4C6C-9288-9B6B11F0DF4E}"/>
              </c:ext>
            </c:extLst>
          </c:dPt>
          <c:dPt>
            <c:idx val="20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9-2BB5-4C6C-9288-9B6B11F0DF4E}"/>
              </c:ext>
            </c:extLst>
          </c:dPt>
          <c:dPt>
            <c:idx val="21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B-2BB5-4C6C-9288-9B6B11F0DF4E}"/>
              </c:ext>
            </c:extLst>
          </c:dPt>
          <c:dPt>
            <c:idx val="22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D-2BB5-4C6C-9288-9B6B11F0DF4E}"/>
              </c:ext>
            </c:extLst>
          </c:dPt>
          <c:dPt>
            <c:idx val="23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F-2BB5-4C6C-9288-9B6B11F0DF4E}"/>
              </c:ext>
            </c:extLst>
          </c:dPt>
          <c:dPt>
            <c:idx val="24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1-2BB5-4C6C-9288-9B6B11F0DF4E}"/>
              </c:ext>
            </c:extLst>
          </c:dPt>
          <c:dPt>
            <c:idx val="25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3-2BB5-4C6C-9288-9B6B11F0DF4E}"/>
              </c:ext>
            </c:extLst>
          </c:dPt>
          <c:dPt>
            <c:idx val="26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5-2BB5-4C6C-9288-9B6B11F0DF4E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7-2BB5-4C6C-9288-9B6B11F0DF4E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9-2BB5-4C6C-9288-9B6B11F0DF4E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B-2BB5-4C6C-9288-9B6B11F0DF4E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D-2BB5-4C6C-9288-9B6B11F0DF4E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F-2BB5-4C6C-9288-9B6B11F0DF4E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41-2BB5-4C6C-9288-9B6B11F0DF4E}"/>
              </c:ext>
            </c:extLst>
          </c:dPt>
          <c:dPt>
            <c:idx val="33"/>
            <c:invertIfNegative val="0"/>
            <c:bubble3D val="0"/>
            <c:spPr>
              <a:solidFill>
                <a:srgbClr val="F6885C"/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43-2BB5-4C6C-9288-9B6B11F0DF4E}"/>
              </c:ext>
            </c:extLst>
          </c:dPt>
          <c:dPt>
            <c:idx val="34"/>
            <c:invertIfNegative val="0"/>
            <c:bubble3D val="0"/>
            <c:spPr>
              <a:solidFill>
                <a:srgbClr val="FF0000"/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45-2BB5-4C6C-9288-9B6B11F0DF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00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'Przestęsptwa 2022'!$B$46:$B$80</c:f>
              <c:strCache>
                <c:ptCount val="35"/>
                <c:pt idx="0">
                  <c:v>Wzgórze Mickiewicza</c:v>
                </c:pt>
                <c:pt idx="1">
                  <c:v>Krakowiec - Górki Zachodnie</c:v>
                </c:pt>
                <c:pt idx="2">
                  <c:v>Strzyża</c:v>
                </c:pt>
                <c:pt idx="3">
                  <c:v>Brętowo</c:v>
                </c:pt>
                <c:pt idx="4">
                  <c:v>Olszynka</c:v>
                </c:pt>
                <c:pt idx="5">
                  <c:v>Wyspa Sobieszewska</c:v>
                </c:pt>
                <c:pt idx="6">
                  <c:v>Aniołki</c:v>
                </c:pt>
                <c:pt idx="7">
                  <c:v>Rudniki</c:v>
                </c:pt>
                <c:pt idx="8">
                  <c:v>VII Dwór</c:v>
                </c:pt>
                <c:pt idx="9">
                  <c:v>Młyniska</c:v>
                </c:pt>
                <c:pt idx="10">
                  <c:v>Przeróbka</c:v>
                </c:pt>
                <c:pt idx="11">
                  <c:v>Zaspa Rozstaje</c:v>
                </c:pt>
                <c:pt idx="12">
                  <c:v>Letnica</c:v>
                </c:pt>
                <c:pt idx="13">
                  <c:v>Suchanino</c:v>
                </c:pt>
                <c:pt idx="14">
                  <c:v>Matarnia</c:v>
                </c:pt>
                <c:pt idx="15">
                  <c:v>Stogi</c:v>
                </c:pt>
                <c:pt idx="16">
                  <c:v>Nowy Port</c:v>
                </c:pt>
                <c:pt idx="17">
                  <c:v>Zaspa Młyniec</c:v>
                </c:pt>
                <c:pt idx="18">
                  <c:v>Kokoszki</c:v>
                </c:pt>
                <c:pt idx="19">
                  <c:v>Siedlce</c:v>
                </c:pt>
                <c:pt idx="20">
                  <c:v>Brzeźno</c:v>
                </c:pt>
                <c:pt idx="21">
                  <c:v>Żabianka - Wejhera - Jelitkowo - Tysiąclecia</c:v>
                </c:pt>
                <c:pt idx="22">
                  <c:v>Osowa</c:v>
                </c:pt>
                <c:pt idx="23">
                  <c:v>Przymorze Małe</c:v>
                </c:pt>
                <c:pt idx="24">
                  <c:v>Piecki-Migowo</c:v>
                </c:pt>
                <c:pt idx="25">
                  <c:v>Orunia Górna-Gdańsk Południe</c:v>
                </c:pt>
                <c:pt idx="26">
                  <c:v>Oliwa</c:v>
                </c:pt>
                <c:pt idx="27">
                  <c:v>Ujeścisko - Łostowice</c:v>
                </c:pt>
                <c:pt idx="28">
                  <c:v>Jasień</c:v>
                </c:pt>
                <c:pt idx="29">
                  <c:v>Orunia - Św. Wojciech - Lipce</c:v>
                </c:pt>
                <c:pt idx="30">
                  <c:v>Chełm</c:v>
                </c:pt>
                <c:pt idx="31">
                  <c:v>Wrzeszcz Górny</c:v>
                </c:pt>
                <c:pt idx="32">
                  <c:v>Przymorze Wielkie</c:v>
                </c:pt>
                <c:pt idx="33">
                  <c:v>Wrzeszcz Dolny</c:v>
                </c:pt>
                <c:pt idx="34">
                  <c:v>Śródmieście</c:v>
                </c:pt>
              </c:strCache>
            </c:strRef>
          </c:cat>
          <c:val>
            <c:numRef>
              <c:f>'Przestęsptwa 2022'!$C$46:$C$80</c:f>
              <c:numCache>
                <c:formatCode>#,##0</c:formatCode>
                <c:ptCount val="35"/>
                <c:pt idx="0">
                  <c:v>24</c:v>
                </c:pt>
                <c:pt idx="1">
                  <c:v>47</c:v>
                </c:pt>
                <c:pt idx="2">
                  <c:v>65</c:v>
                </c:pt>
                <c:pt idx="3">
                  <c:v>77</c:v>
                </c:pt>
                <c:pt idx="4">
                  <c:v>77</c:v>
                </c:pt>
                <c:pt idx="5">
                  <c:v>78</c:v>
                </c:pt>
                <c:pt idx="6">
                  <c:v>82</c:v>
                </c:pt>
                <c:pt idx="7">
                  <c:v>86</c:v>
                </c:pt>
                <c:pt idx="8">
                  <c:v>99</c:v>
                </c:pt>
                <c:pt idx="9">
                  <c:v>109</c:v>
                </c:pt>
                <c:pt idx="10">
                  <c:v>128</c:v>
                </c:pt>
                <c:pt idx="11">
                  <c:v>155</c:v>
                </c:pt>
                <c:pt idx="12">
                  <c:v>162</c:v>
                </c:pt>
                <c:pt idx="13">
                  <c:v>165</c:v>
                </c:pt>
                <c:pt idx="14">
                  <c:v>187</c:v>
                </c:pt>
                <c:pt idx="15">
                  <c:v>200</c:v>
                </c:pt>
                <c:pt idx="16">
                  <c:v>201</c:v>
                </c:pt>
                <c:pt idx="17">
                  <c:v>206</c:v>
                </c:pt>
                <c:pt idx="18">
                  <c:v>207</c:v>
                </c:pt>
                <c:pt idx="19">
                  <c:v>207</c:v>
                </c:pt>
                <c:pt idx="20">
                  <c:v>222</c:v>
                </c:pt>
                <c:pt idx="21">
                  <c:v>279</c:v>
                </c:pt>
                <c:pt idx="22">
                  <c:v>299</c:v>
                </c:pt>
                <c:pt idx="23">
                  <c:v>311</c:v>
                </c:pt>
                <c:pt idx="24">
                  <c:v>332</c:v>
                </c:pt>
                <c:pt idx="25">
                  <c:v>338</c:v>
                </c:pt>
                <c:pt idx="26">
                  <c:v>340</c:v>
                </c:pt>
                <c:pt idx="27">
                  <c:v>410</c:v>
                </c:pt>
                <c:pt idx="28">
                  <c:v>416</c:v>
                </c:pt>
                <c:pt idx="29">
                  <c:v>431</c:v>
                </c:pt>
                <c:pt idx="30">
                  <c:v>470</c:v>
                </c:pt>
                <c:pt idx="31">
                  <c:v>590</c:v>
                </c:pt>
                <c:pt idx="32">
                  <c:v>652</c:v>
                </c:pt>
                <c:pt idx="33">
                  <c:v>679</c:v>
                </c:pt>
                <c:pt idx="34">
                  <c:v>1897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2BB5-4C6C-9288-9B6B11F0D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8527904"/>
        <c:axId val="368528688"/>
      </c:barChart>
      <c:catAx>
        <c:axId val="368527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68528688"/>
        <c:crosses val="autoZero"/>
        <c:auto val="1"/>
        <c:lblAlgn val="ctr"/>
        <c:lblOffset val="100"/>
        <c:noMultiLvlLbl val="0"/>
      </c:catAx>
      <c:valAx>
        <c:axId val="368528688"/>
        <c:scaling>
          <c:orientation val="minMax"/>
          <c:max val="250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368527904"/>
        <c:crosses val="autoZero"/>
        <c:crossBetween val="between"/>
        <c:majorUnit val="250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 b="0"/>
              <a:t>Liczba przestępstw na 1000 mieszkańców w podziale na dzielnice Gdańska</a:t>
            </a:r>
            <a:r>
              <a:rPr lang="pl-PL" sz="1400" b="0"/>
              <a:t> w 2023 r.</a:t>
            </a:r>
            <a:endParaRPr lang="en-US" sz="1400" b="0"/>
          </a:p>
        </c:rich>
      </c:tx>
      <c:overlay val="0"/>
      <c:spPr>
        <a:solidFill>
          <a:srgbClr val="F2F2F2"/>
        </a:solidFill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'Przestęsptwa 2023'!$C$86</c:f>
              <c:strCache>
                <c:ptCount val="1"/>
                <c:pt idx="0">
                  <c:v>PRZESTĘPSTWA NA 1000 MIESZKAŃCÓW W 2023 R.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E5D3-443B-9B25-5D4D2CF0591F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5D3-443B-9B25-5D4D2CF0591F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5D3-443B-9B25-5D4D2CF0591F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E5D3-443B-9B25-5D4D2CF0591F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E5D3-443B-9B25-5D4D2CF0591F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B-E5D3-443B-9B25-5D4D2CF0591F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E5D3-443B-9B25-5D4D2CF0591F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F-E5D3-443B-9B25-5D4D2CF0591F}"/>
              </c:ext>
            </c:extLst>
          </c:dPt>
          <c:dPt>
            <c:idx val="8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1-E5D3-443B-9B25-5D4D2CF0591F}"/>
              </c:ext>
            </c:extLst>
          </c:dPt>
          <c:dPt>
            <c:idx val="9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E5D3-443B-9B25-5D4D2CF0591F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E5D3-443B-9B25-5D4D2CF0591F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E5D3-443B-9B25-5D4D2CF0591F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9-E5D3-443B-9B25-5D4D2CF0591F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B-E5D3-443B-9B25-5D4D2CF0591F}"/>
              </c:ext>
            </c:extLst>
          </c:dPt>
          <c:dPt>
            <c:idx val="14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D-E5D3-443B-9B25-5D4D2CF0591F}"/>
              </c:ext>
            </c:extLst>
          </c:dPt>
          <c:dPt>
            <c:idx val="15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F-E5D3-443B-9B25-5D4D2CF0591F}"/>
              </c:ext>
            </c:extLst>
          </c:dPt>
          <c:dPt>
            <c:idx val="16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1-E5D3-443B-9B25-5D4D2CF0591F}"/>
              </c:ext>
            </c:extLst>
          </c:dPt>
          <c:dPt>
            <c:idx val="17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3-E5D3-443B-9B25-5D4D2CF0591F}"/>
              </c:ext>
            </c:extLst>
          </c:dPt>
          <c:dPt>
            <c:idx val="18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5-E5D3-443B-9B25-5D4D2CF0591F}"/>
              </c:ext>
            </c:extLst>
          </c:dPt>
          <c:dPt>
            <c:idx val="19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7-E5D3-443B-9B25-5D4D2CF0591F}"/>
              </c:ext>
            </c:extLst>
          </c:dPt>
          <c:dPt>
            <c:idx val="20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9-E5D3-443B-9B25-5D4D2CF0591F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B-E5D3-443B-9B25-5D4D2CF0591F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D-E5D3-443B-9B25-5D4D2CF0591F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F-E5D3-443B-9B25-5D4D2CF0591F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1-E5D3-443B-9B25-5D4D2CF0591F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3-E5D3-443B-9B25-5D4D2CF0591F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5-E5D3-443B-9B25-5D4D2CF0591F}"/>
              </c:ext>
            </c:extLst>
          </c:dPt>
          <c:dPt>
            <c:idx val="30"/>
            <c:invertIfNegative val="0"/>
            <c:bubble3D val="0"/>
            <c:spPr>
              <a:solidFill>
                <a:srgbClr val="FAC090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7-E5D3-443B-9B25-5D4D2CF0591F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9-E5D3-443B-9B25-5D4D2CF0591F}"/>
              </c:ext>
            </c:extLst>
          </c:dPt>
          <c:dPt>
            <c:idx val="32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B-E5D3-443B-9B25-5D4D2CF0591F}"/>
              </c:ext>
            </c:extLst>
          </c:dPt>
          <c:dPt>
            <c:idx val="33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D-E5D3-443B-9B25-5D4D2CF0591F}"/>
              </c:ext>
            </c:extLst>
          </c:dPt>
          <c:dPt>
            <c:idx val="34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F-E5D3-443B-9B25-5D4D2CF0591F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41-E5D3-443B-9B25-5D4D2CF0591F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43-E5D3-443B-9B25-5D4D2CF0591F}"/>
              </c:ext>
            </c:extLst>
          </c:dPt>
          <c:dLbls>
            <c:dLbl>
              <c:idx val="21"/>
              <c:layout>
                <c:manualLayout>
                  <c:x val="7.7971808814668594E-17"/>
                  <c:y val="5.734513274336279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5D3-443B-9B25-5D4D2CF0591F}"/>
                </c:ext>
              </c:extLst>
            </c:dLbl>
            <c:dLbl>
              <c:idx val="22"/>
              <c:layout>
                <c:manualLayout>
                  <c:x val="0"/>
                  <c:y val="5.394642134976666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5D3-443B-9B25-5D4D2CF059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000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'Przestęsptwa 2023'!$B$87:$B$123</c:f>
              <c:strCache>
                <c:ptCount val="37"/>
                <c:pt idx="0">
                  <c:v>Żabianka - Wejhera - Jelitkowo - Tysiąclecia</c:v>
                </c:pt>
                <c:pt idx="1">
                  <c:v>Piecki-Migowo</c:v>
                </c:pt>
                <c:pt idx="2">
                  <c:v>Chełm</c:v>
                </c:pt>
                <c:pt idx="3">
                  <c:v>Przymorze Wielkie</c:v>
                </c:pt>
                <c:pt idx="4">
                  <c:v>Wzgórze Mickiewicza</c:v>
                </c:pt>
                <c:pt idx="5">
                  <c:v>Suchanino</c:v>
                </c:pt>
                <c:pt idx="6">
                  <c:v>Strzyża</c:v>
                </c:pt>
                <c:pt idx="7">
                  <c:v>Ujeścisko - Łostowice</c:v>
                </c:pt>
                <c:pt idx="8">
                  <c:v>Zaspa Młyniec</c:v>
                </c:pt>
                <c:pt idx="9">
                  <c:v>Zaspa Rozstaje</c:v>
                </c:pt>
                <c:pt idx="10">
                  <c:v>Osowa</c:v>
                </c:pt>
                <c:pt idx="11">
                  <c:v>Jasień</c:v>
                </c:pt>
                <c:pt idx="12">
                  <c:v>VII Dwór</c:v>
                </c:pt>
                <c:pt idx="13">
                  <c:v>Matarnia</c:v>
                </c:pt>
                <c:pt idx="14">
                  <c:v>Stogi</c:v>
                </c:pt>
                <c:pt idx="15">
                  <c:v>Kokoszki</c:v>
                </c:pt>
                <c:pt idx="16">
                  <c:v>Brzeźno</c:v>
                </c:pt>
                <c:pt idx="17">
                  <c:v>Oliwa</c:v>
                </c:pt>
                <c:pt idx="18">
                  <c:v>Nowy Port</c:v>
                </c:pt>
                <c:pt idx="19">
                  <c:v>Wrzeszcz Dolny</c:v>
                </c:pt>
                <c:pt idx="20">
                  <c:v>Siedlce</c:v>
                </c:pt>
                <c:pt idx="21">
                  <c:v>Orunia Górna - Gdańsk Południe</c:v>
                </c:pt>
                <c:pt idx="22">
                  <c:v>Brętowo</c:v>
                </c:pt>
                <c:pt idx="23">
                  <c:v>Wyspa Sobieszewska</c:v>
                </c:pt>
                <c:pt idx="24">
                  <c:v>Olszynka</c:v>
                </c:pt>
                <c:pt idx="25">
                  <c:v>Orunia - Św. Wojciech - Lipce</c:v>
                </c:pt>
                <c:pt idx="26">
                  <c:v>Przymorze Małe</c:v>
                </c:pt>
                <c:pt idx="27">
                  <c:v>Wrzeszcz Górny</c:v>
                </c:pt>
                <c:pt idx="28">
                  <c:v>Krakowiec - Górki Zachodnie</c:v>
                </c:pt>
                <c:pt idx="29">
                  <c:v>Przeróbka</c:v>
                </c:pt>
                <c:pt idx="30">
                  <c:v>Młyniska</c:v>
                </c:pt>
                <c:pt idx="31">
                  <c:v>Aniołki</c:v>
                </c:pt>
                <c:pt idx="32">
                  <c:v>Śródmieście</c:v>
                </c:pt>
                <c:pt idx="33">
                  <c:v>Letnica</c:v>
                </c:pt>
                <c:pt idx="34">
                  <c:v>Rudniki</c:v>
                </c:pt>
                <c:pt idx="36">
                  <c:v>GDAŃSK</c:v>
                </c:pt>
              </c:strCache>
            </c:strRef>
          </c:cat>
          <c:val>
            <c:numRef>
              <c:f>'Przestęsptwa 2023'!$C$87:$C$123</c:f>
              <c:numCache>
                <c:formatCode>0.0</c:formatCode>
                <c:ptCount val="37"/>
                <c:pt idx="0">
                  <c:v>11.072902338376892</c:v>
                </c:pt>
                <c:pt idx="1">
                  <c:v>11.481985794722704</c:v>
                </c:pt>
                <c:pt idx="2">
                  <c:v>12.035260059200468</c:v>
                </c:pt>
                <c:pt idx="3">
                  <c:v>12.721602101116218</c:v>
                </c:pt>
                <c:pt idx="4">
                  <c:v>13.052631578947368</c:v>
                </c:pt>
                <c:pt idx="5">
                  <c:v>13.977260874100343</c:v>
                </c:pt>
                <c:pt idx="6">
                  <c:v>15.336217066456939</c:v>
                </c:pt>
                <c:pt idx="7">
                  <c:v>15.511407417333913</c:v>
                </c:pt>
                <c:pt idx="8">
                  <c:v>16.321913380736913</c:v>
                </c:pt>
                <c:pt idx="9">
                  <c:v>17.274626385987464</c:v>
                </c:pt>
                <c:pt idx="10">
                  <c:v>19.757493691142979</c:v>
                </c:pt>
                <c:pt idx="11">
                  <c:v>20.693627350146048</c:v>
                </c:pt>
                <c:pt idx="12">
                  <c:v>21.008403361344538</c:v>
                </c:pt>
                <c:pt idx="13">
                  <c:v>21.150033046926634</c:v>
                </c:pt>
                <c:pt idx="14">
                  <c:v>22.4</c:v>
                </c:pt>
                <c:pt idx="15">
                  <c:v>23.128598848368522</c:v>
                </c:pt>
                <c:pt idx="16">
                  <c:v>23.313219967087218</c:v>
                </c:pt>
                <c:pt idx="17">
                  <c:v>25.926939389793404</c:v>
                </c:pt>
                <c:pt idx="18">
                  <c:v>26.580035440047254</c:v>
                </c:pt>
                <c:pt idx="19">
                  <c:v>28.501478196600146</c:v>
                </c:pt>
                <c:pt idx="20">
                  <c:v>29.022689008257835</c:v>
                </c:pt>
                <c:pt idx="21">
                  <c:v>29.781252745321972</c:v>
                </c:pt>
                <c:pt idx="22">
                  <c:v>31.694869728713403</c:v>
                </c:pt>
                <c:pt idx="23">
                  <c:v>32.258064516129032</c:v>
                </c:pt>
                <c:pt idx="24">
                  <c:v>35.714285714285715</c:v>
                </c:pt>
                <c:pt idx="25">
                  <c:v>37.308146399055488</c:v>
                </c:pt>
                <c:pt idx="26">
                  <c:v>42.449034334763951</c:v>
                </c:pt>
                <c:pt idx="27">
                  <c:v>43.969245555021622</c:v>
                </c:pt>
                <c:pt idx="28">
                  <c:v>44.551475015051174</c:v>
                </c:pt>
                <c:pt idx="29">
                  <c:v>47.140864714086469</c:v>
                </c:pt>
                <c:pt idx="30">
                  <c:v>49.165935030728711</c:v>
                </c:pt>
                <c:pt idx="31">
                  <c:v>49.727681742836843</c:v>
                </c:pt>
                <c:pt idx="32">
                  <c:v>72.761513439479529</c:v>
                </c:pt>
                <c:pt idx="33">
                  <c:v>84.668192219679639</c:v>
                </c:pt>
                <c:pt idx="34">
                  <c:v>179.24528301886792</c:v>
                </c:pt>
                <c:pt idx="36">
                  <c:v>27.058241214321068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E5D3-443B-9B25-5D4D2CF05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8524376"/>
        <c:axId val="368526728"/>
      </c:barChart>
      <c:catAx>
        <c:axId val="368524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68526728"/>
        <c:crosses val="autoZero"/>
        <c:auto val="1"/>
        <c:lblAlgn val="ctr"/>
        <c:lblOffset val="100"/>
        <c:noMultiLvlLbl val="0"/>
      </c:catAx>
      <c:valAx>
        <c:axId val="36852672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.0" sourceLinked="1"/>
        <c:majorTickMark val="out"/>
        <c:minorTickMark val="none"/>
        <c:tickLblPos val="nextTo"/>
        <c:crossAx val="36852437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pl-PL" sz="1400" b="0"/>
              <a:t>Liczba</a:t>
            </a:r>
            <a:r>
              <a:rPr lang="pl-PL" sz="1400" b="0" baseline="0"/>
              <a:t> przestępstw w podziale na dzielnice Gdańska w 2023 r. </a:t>
            </a:r>
            <a:endParaRPr lang="en-US" sz="1400" b="0"/>
          </a:p>
        </c:rich>
      </c:tx>
      <c:overlay val="0"/>
      <c:spPr>
        <a:solidFill>
          <a:srgbClr val="F2F2F2"/>
        </a:solidFill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'Przestęsptwa 2023'!$C$45</c:f>
              <c:strCache>
                <c:ptCount val="1"/>
                <c:pt idx="0">
                  <c:v>LICZBA PRZESTĘPSTW W 2023 R.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prstClr val="black">
                  <a:lumMod val="95000"/>
                  <a:lumOff val="5000"/>
                </a:prstClr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3F16-4FAE-A0B9-D6013236D93A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3F16-4FAE-A0B9-D6013236D93A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3F16-4FAE-A0B9-D6013236D93A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3F16-4FAE-A0B9-D6013236D93A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3F16-4FAE-A0B9-D6013236D93A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B-3F16-4FAE-A0B9-D6013236D93A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3F16-4FAE-A0B9-D6013236D93A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F-3F16-4FAE-A0B9-D6013236D93A}"/>
              </c:ext>
            </c:extLst>
          </c:dPt>
          <c:dPt>
            <c:idx val="8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1-3F16-4FAE-A0B9-D6013236D93A}"/>
              </c:ext>
            </c:extLst>
          </c:dPt>
          <c:dPt>
            <c:idx val="9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3F16-4FAE-A0B9-D6013236D93A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3F16-4FAE-A0B9-D6013236D93A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3F16-4FAE-A0B9-D6013236D93A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9-3F16-4FAE-A0B9-D6013236D93A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B-3F16-4FAE-A0B9-D6013236D93A}"/>
              </c:ext>
            </c:extLst>
          </c:dPt>
          <c:dPt>
            <c:idx val="14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D-3F16-4FAE-A0B9-D6013236D93A}"/>
              </c:ext>
            </c:extLst>
          </c:dPt>
          <c:dPt>
            <c:idx val="15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F-3F16-4FAE-A0B9-D6013236D93A}"/>
              </c:ext>
            </c:extLst>
          </c:dPt>
          <c:dPt>
            <c:idx val="16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1-3F16-4FAE-A0B9-D6013236D93A}"/>
              </c:ext>
            </c:extLst>
          </c:dPt>
          <c:dPt>
            <c:idx val="17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3-3F16-4FAE-A0B9-D6013236D93A}"/>
              </c:ext>
            </c:extLst>
          </c:dPt>
          <c:dPt>
            <c:idx val="18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5-3F16-4FAE-A0B9-D6013236D93A}"/>
              </c:ext>
            </c:extLst>
          </c:dPt>
          <c:dPt>
            <c:idx val="19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7-3F16-4FAE-A0B9-D6013236D93A}"/>
              </c:ext>
            </c:extLst>
          </c:dPt>
          <c:dPt>
            <c:idx val="20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9-3F16-4FAE-A0B9-D6013236D93A}"/>
              </c:ext>
            </c:extLst>
          </c:dPt>
          <c:dPt>
            <c:idx val="21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B-3F16-4FAE-A0B9-D6013236D93A}"/>
              </c:ext>
            </c:extLst>
          </c:dPt>
          <c:dPt>
            <c:idx val="22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D-3F16-4FAE-A0B9-D6013236D93A}"/>
              </c:ext>
            </c:extLst>
          </c:dPt>
          <c:dPt>
            <c:idx val="23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F-3F16-4FAE-A0B9-D6013236D93A}"/>
              </c:ext>
            </c:extLst>
          </c:dPt>
          <c:dPt>
            <c:idx val="24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1-3F16-4FAE-A0B9-D6013236D93A}"/>
              </c:ext>
            </c:extLst>
          </c:dPt>
          <c:dPt>
            <c:idx val="25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3-3F16-4FAE-A0B9-D6013236D93A}"/>
              </c:ext>
            </c:extLst>
          </c:dPt>
          <c:dPt>
            <c:idx val="26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5-3F16-4FAE-A0B9-D6013236D93A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7-3F16-4FAE-A0B9-D6013236D93A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9-3F16-4FAE-A0B9-D6013236D93A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B-3F16-4FAE-A0B9-D6013236D93A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D-3F16-4FAE-A0B9-D6013236D93A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F-3F16-4FAE-A0B9-D6013236D93A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41-3F16-4FAE-A0B9-D6013236D93A}"/>
              </c:ext>
            </c:extLst>
          </c:dPt>
          <c:dPt>
            <c:idx val="33"/>
            <c:invertIfNegative val="0"/>
            <c:bubble3D val="0"/>
            <c:spPr>
              <a:solidFill>
                <a:srgbClr val="F6885C"/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43-3F16-4FAE-A0B9-D6013236D93A}"/>
              </c:ext>
            </c:extLst>
          </c:dPt>
          <c:dPt>
            <c:idx val="34"/>
            <c:invertIfNegative val="0"/>
            <c:bubble3D val="0"/>
            <c:spPr>
              <a:solidFill>
                <a:srgbClr val="FF0000"/>
              </a:solidFill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  <c:extLst>
              <c:ext xmlns:c16="http://schemas.microsoft.com/office/drawing/2014/chart" uri="{C3380CC4-5D6E-409C-BE32-E72D297353CC}">
                <c16:uniqueId val="{00000045-3F16-4FAE-A0B9-D6013236D9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00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'Przestęsptwa 2023'!$B$46:$B$80</c:f>
              <c:strCache>
                <c:ptCount val="35"/>
                <c:pt idx="0">
                  <c:v>Wzgórze Mickiewicza</c:v>
                </c:pt>
                <c:pt idx="1">
                  <c:v>Krakowiec - Górki Zachodnie</c:v>
                </c:pt>
                <c:pt idx="2">
                  <c:v>Strzyża</c:v>
                </c:pt>
                <c:pt idx="3">
                  <c:v>VII Dwór</c:v>
                </c:pt>
                <c:pt idx="4">
                  <c:v>Olszynka</c:v>
                </c:pt>
                <c:pt idx="5">
                  <c:v>Wyspa Sobieszewska</c:v>
                </c:pt>
                <c:pt idx="6">
                  <c:v>Młyniska</c:v>
                </c:pt>
                <c:pt idx="7">
                  <c:v>Matarnia</c:v>
                </c:pt>
                <c:pt idx="8">
                  <c:v>Suchanino</c:v>
                </c:pt>
                <c:pt idx="9">
                  <c:v>Żabianka - Wejhera - Jelitkowo - Tysiąclecia</c:v>
                </c:pt>
                <c:pt idx="10">
                  <c:v>Przeróbka</c:v>
                </c:pt>
                <c:pt idx="11">
                  <c:v>Rudniki</c:v>
                </c:pt>
                <c:pt idx="12">
                  <c:v>Zaspa Młyniec</c:v>
                </c:pt>
                <c:pt idx="13">
                  <c:v>Aniołki</c:v>
                </c:pt>
                <c:pt idx="14">
                  <c:v>Stogi</c:v>
                </c:pt>
                <c:pt idx="15">
                  <c:v>Zaspa Rozstaje</c:v>
                </c:pt>
                <c:pt idx="16">
                  <c:v>Letnica</c:v>
                </c:pt>
                <c:pt idx="17">
                  <c:v>Nowy Port</c:v>
                </c:pt>
                <c:pt idx="18">
                  <c:v>Brętowo</c:v>
                </c:pt>
                <c:pt idx="19">
                  <c:v>Kokoszki</c:v>
                </c:pt>
                <c:pt idx="20">
                  <c:v>Brzeźno</c:v>
                </c:pt>
                <c:pt idx="21">
                  <c:v>Przymorze Wielkie</c:v>
                </c:pt>
                <c:pt idx="22">
                  <c:v>Piecki-Migowo</c:v>
                </c:pt>
                <c:pt idx="23">
                  <c:v>Osowa</c:v>
                </c:pt>
                <c:pt idx="24">
                  <c:v>Siedlce</c:v>
                </c:pt>
                <c:pt idx="25">
                  <c:v>Chełm</c:v>
                </c:pt>
                <c:pt idx="26">
                  <c:v>Oliwa</c:v>
                </c:pt>
                <c:pt idx="27">
                  <c:v>Ujeścisko - Łostowice</c:v>
                </c:pt>
                <c:pt idx="28">
                  <c:v>Orunia - Św. Wojciech - Lipce</c:v>
                </c:pt>
                <c:pt idx="29">
                  <c:v>Jasień</c:v>
                </c:pt>
                <c:pt idx="30">
                  <c:v>Wrzeszcz Dolny</c:v>
                </c:pt>
                <c:pt idx="31">
                  <c:v>Przymorze Małe</c:v>
                </c:pt>
                <c:pt idx="32">
                  <c:v>Orunia Górna - Gdańsk Południe</c:v>
                </c:pt>
                <c:pt idx="33">
                  <c:v>Wrzeszcz Górny</c:v>
                </c:pt>
                <c:pt idx="34">
                  <c:v>Śródmieście</c:v>
                </c:pt>
              </c:strCache>
            </c:strRef>
          </c:cat>
          <c:val>
            <c:numRef>
              <c:f>'Przestęsptwa 2023'!$C$46:$C$80</c:f>
              <c:numCache>
                <c:formatCode>#,##0</c:formatCode>
                <c:ptCount val="35"/>
                <c:pt idx="0">
                  <c:v>31</c:v>
                </c:pt>
                <c:pt idx="1">
                  <c:v>74</c:v>
                </c:pt>
                <c:pt idx="2">
                  <c:v>78</c:v>
                </c:pt>
                <c:pt idx="3">
                  <c:v>80</c:v>
                </c:pt>
                <c:pt idx="4">
                  <c:v>102</c:v>
                </c:pt>
                <c:pt idx="5">
                  <c:v>105</c:v>
                </c:pt>
                <c:pt idx="6">
                  <c:v>112</c:v>
                </c:pt>
                <c:pt idx="7">
                  <c:v>128</c:v>
                </c:pt>
                <c:pt idx="8">
                  <c:v>134</c:v>
                </c:pt>
                <c:pt idx="9">
                  <c:v>161</c:v>
                </c:pt>
                <c:pt idx="10">
                  <c:v>169</c:v>
                </c:pt>
                <c:pt idx="11">
                  <c:v>171</c:v>
                </c:pt>
                <c:pt idx="12">
                  <c:v>202</c:v>
                </c:pt>
                <c:pt idx="13">
                  <c:v>210</c:v>
                </c:pt>
                <c:pt idx="14">
                  <c:v>210</c:v>
                </c:pt>
                <c:pt idx="15">
                  <c:v>215</c:v>
                </c:pt>
                <c:pt idx="16">
                  <c:v>222</c:v>
                </c:pt>
                <c:pt idx="17">
                  <c:v>225</c:v>
                </c:pt>
                <c:pt idx="18">
                  <c:v>236</c:v>
                </c:pt>
                <c:pt idx="19">
                  <c:v>241</c:v>
                </c:pt>
                <c:pt idx="20">
                  <c:v>255</c:v>
                </c:pt>
                <c:pt idx="21">
                  <c:v>310</c:v>
                </c:pt>
                <c:pt idx="22">
                  <c:v>312</c:v>
                </c:pt>
                <c:pt idx="23">
                  <c:v>321</c:v>
                </c:pt>
                <c:pt idx="24">
                  <c:v>362</c:v>
                </c:pt>
                <c:pt idx="25">
                  <c:v>370</c:v>
                </c:pt>
                <c:pt idx="26">
                  <c:v>379</c:v>
                </c:pt>
                <c:pt idx="27">
                  <c:v>463</c:v>
                </c:pt>
                <c:pt idx="28">
                  <c:v>474</c:v>
                </c:pt>
                <c:pt idx="29">
                  <c:v>503</c:v>
                </c:pt>
                <c:pt idx="30">
                  <c:v>617</c:v>
                </c:pt>
                <c:pt idx="31">
                  <c:v>633</c:v>
                </c:pt>
                <c:pt idx="32">
                  <c:v>678</c:v>
                </c:pt>
                <c:pt idx="33">
                  <c:v>915</c:v>
                </c:pt>
                <c:pt idx="34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3F16-4FAE-A0B9-D6013236D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8527904"/>
        <c:axId val="368528688"/>
      </c:barChart>
      <c:catAx>
        <c:axId val="368527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68528688"/>
        <c:crosses val="autoZero"/>
        <c:auto val="1"/>
        <c:lblAlgn val="ctr"/>
        <c:lblOffset val="100"/>
        <c:noMultiLvlLbl val="0"/>
      </c:catAx>
      <c:valAx>
        <c:axId val="368528688"/>
        <c:scaling>
          <c:orientation val="minMax"/>
          <c:max val="250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368527904"/>
        <c:crosses val="autoZero"/>
        <c:crossBetween val="between"/>
        <c:majorUnit val="250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717176</xdr:colOff>
      <xdr:row>86</xdr:row>
      <xdr:rowOff>142875</xdr:rowOff>
    </xdr:from>
    <xdr:to>
      <xdr:col>10</xdr:col>
      <xdr:colOff>1119186</xdr:colOff>
      <xdr:row>122</xdr:row>
      <xdr:rowOff>10645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466726</xdr:colOff>
      <xdr:row>43</xdr:row>
      <xdr:rowOff>119063</xdr:rowOff>
    </xdr:from>
    <xdr:to>
      <xdr:col>10</xdr:col>
      <xdr:colOff>1190625</xdr:colOff>
      <xdr:row>79</xdr:row>
      <xdr:rowOff>178033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8469</xdr:colOff>
      <xdr:row>0</xdr:row>
      <xdr:rowOff>0</xdr:rowOff>
    </xdr:from>
    <xdr:to>
      <xdr:col>10</xdr:col>
      <xdr:colOff>1509930</xdr:colOff>
      <xdr:row>0</xdr:row>
      <xdr:rowOff>364671</xdr:rowOff>
    </xdr:to>
    <xdr:grpSp>
      <xdr:nvGrpSpPr>
        <xdr:cNvPr id="56" name="Grupa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GrpSpPr/>
      </xdr:nvGrpSpPr>
      <xdr:grpSpPr>
        <a:xfrm>
          <a:off x="8469" y="0"/>
          <a:ext cx="18170211" cy="364671"/>
          <a:chOff x="8469" y="0"/>
          <a:chExt cx="18668232" cy="364671"/>
        </a:xfrm>
      </xdr:grpSpPr>
      <xdr:grpSp>
        <xdr:nvGrpSpPr>
          <xdr:cNvPr id="4" name="Grupa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GrpSpPr/>
        </xdr:nvGrpSpPr>
        <xdr:grpSpPr>
          <a:xfrm>
            <a:off x="8469" y="0"/>
            <a:ext cx="14009610" cy="353786"/>
            <a:chOff x="0" y="0"/>
            <a:chExt cx="11984678" cy="298679"/>
          </a:xfrm>
        </xdr:grpSpPr>
        <xdr:grpSp>
          <xdr:nvGrpSpPr>
            <xdr:cNvPr id="5" name="Grupa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GrpSpPr/>
          </xdr:nvGrpSpPr>
          <xdr:grpSpPr>
            <a:xfrm>
              <a:off x="0" y="0"/>
              <a:ext cx="8460428" cy="298679"/>
              <a:chOff x="0" y="0"/>
              <a:chExt cx="8460428" cy="298679"/>
            </a:xfrm>
          </xdr:grpSpPr>
          <xdr:grpSp>
            <xdr:nvGrpSpPr>
              <xdr:cNvPr id="12" name="Grupa 11">
                <a:extLst>
                  <a:ext uri="{FF2B5EF4-FFF2-40B4-BE49-F238E27FC236}">
                    <a16:creationId xmlns:a16="http://schemas.microsoft.com/office/drawing/2014/main" id="{00000000-0008-0000-0200-00000C000000}"/>
                  </a:ext>
                </a:extLst>
              </xdr:cNvPr>
              <xdr:cNvGrpSpPr/>
            </xdr:nvGrpSpPr>
            <xdr:grpSpPr>
              <a:xfrm>
                <a:off x="0" y="0"/>
                <a:ext cx="2821628" cy="298679"/>
                <a:chOff x="0" y="0"/>
                <a:chExt cx="2821628" cy="298679"/>
              </a:xfrm>
            </xdr:grpSpPr>
            <xdr:pic>
              <xdr:nvPicPr>
                <xdr:cNvPr id="23" name="Obraz 22">
                  <a:extLst>
                    <a:ext uri="{FF2B5EF4-FFF2-40B4-BE49-F238E27FC236}">
                      <a16:creationId xmlns:a16="http://schemas.microsoft.com/office/drawing/2014/main" id="{00000000-0008-0000-0200-000017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24" name="Obraz 23">
                  <a:extLst>
                    <a:ext uri="{FF2B5EF4-FFF2-40B4-BE49-F238E27FC236}">
                      <a16:creationId xmlns:a16="http://schemas.microsoft.com/office/drawing/2014/main" id="{00000000-0008-0000-0200-000018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0485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25" name="Obraz 24">
                  <a:extLst>
                    <a:ext uri="{FF2B5EF4-FFF2-40B4-BE49-F238E27FC236}">
                      <a16:creationId xmlns:a16="http://schemas.microsoft.com/office/drawing/2014/main" id="{00000000-0008-0000-0200-000019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40970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26" name="Obraz 25">
                  <a:extLst>
                    <a:ext uri="{FF2B5EF4-FFF2-40B4-BE49-F238E27FC236}">
                      <a16:creationId xmlns:a16="http://schemas.microsoft.com/office/drawing/2014/main" id="{00000000-0008-0000-0200-00001A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2114550" y="0"/>
                  <a:ext cx="707078" cy="298679"/>
                </a:xfrm>
                <a:prstGeom prst="rect">
                  <a:avLst/>
                </a:prstGeom>
              </xdr:spPr>
            </xdr:pic>
          </xdr:grpSp>
          <xdr:grpSp>
            <xdr:nvGrpSpPr>
              <xdr:cNvPr id="13" name="Grupa 12">
                <a:extLst>
                  <a:ext uri="{FF2B5EF4-FFF2-40B4-BE49-F238E27FC236}">
                    <a16:creationId xmlns:a16="http://schemas.microsoft.com/office/drawing/2014/main" id="{00000000-0008-0000-0200-00000D000000}"/>
                  </a:ext>
                </a:extLst>
              </xdr:cNvPr>
              <xdr:cNvGrpSpPr/>
            </xdr:nvGrpSpPr>
            <xdr:grpSpPr>
              <a:xfrm>
                <a:off x="2819400" y="0"/>
                <a:ext cx="2821628" cy="298679"/>
                <a:chOff x="0" y="0"/>
                <a:chExt cx="2821628" cy="298679"/>
              </a:xfrm>
            </xdr:grpSpPr>
            <xdr:pic>
              <xdr:nvPicPr>
                <xdr:cNvPr id="19" name="Obraz 18">
                  <a:extLst>
                    <a:ext uri="{FF2B5EF4-FFF2-40B4-BE49-F238E27FC236}">
                      <a16:creationId xmlns:a16="http://schemas.microsoft.com/office/drawing/2014/main" id="{00000000-0008-0000-0200-000013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20" name="Obraz 19">
                  <a:extLst>
                    <a:ext uri="{FF2B5EF4-FFF2-40B4-BE49-F238E27FC236}">
                      <a16:creationId xmlns:a16="http://schemas.microsoft.com/office/drawing/2014/main" id="{00000000-0008-0000-0200-000014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0485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21" name="Obraz 20">
                  <a:extLst>
                    <a:ext uri="{FF2B5EF4-FFF2-40B4-BE49-F238E27FC236}">
                      <a16:creationId xmlns:a16="http://schemas.microsoft.com/office/drawing/2014/main" id="{00000000-0008-0000-0200-000015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40970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22" name="Obraz 21">
                  <a:extLst>
                    <a:ext uri="{FF2B5EF4-FFF2-40B4-BE49-F238E27FC236}">
                      <a16:creationId xmlns:a16="http://schemas.microsoft.com/office/drawing/2014/main" id="{00000000-0008-0000-0200-000016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2114550" y="0"/>
                  <a:ext cx="707078" cy="298679"/>
                </a:xfrm>
                <a:prstGeom prst="rect">
                  <a:avLst/>
                </a:prstGeom>
              </xdr:spPr>
            </xdr:pic>
          </xdr:grpSp>
          <xdr:grpSp>
            <xdr:nvGrpSpPr>
              <xdr:cNvPr id="14" name="Grupa 13">
                <a:extLst>
                  <a:ext uri="{FF2B5EF4-FFF2-40B4-BE49-F238E27FC236}">
                    <a16:creationId xmlns:a16="http://schemas.microsoft.com/office/drawing/2014/main" id="{00000000-0008-0000-0200-00000E000000}"/>
                  </a:ext>
                </a:extLst>
              </xdr:cNvPr>
              <xdr:cNvGrpSpPr/>
            </xdr:nvGrpSpPr>
            <xdr:grpSpPr>
              <a:xfrm>
                <a:off x="5638800" y="0"/>
                <a:ext cx="2821628" cy="298679"/>
                <a:chOff x="0" y="0"/>
                <a:chExt cx="2821628" cy="298679"/>
              </a:xfrm>
            </xdr:grpSpPr>
            <xdr:pic>
              <xdr:nvPicPr>
                <xdr:cNvPr id="15" name="Obraz 14">
                  <a:extLst>
                    <a:ext uri="{FF2B5EF4-FFF2-40B4-BE49-F238E27FC236}">
                      <a16:creationId xmlns:a16="http://schemas.microsoft.com/office/drawing/2014/main" id="{00000000-0008-0000-0200-00000F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16" name="Obraz 15">
                  <a:extLst>
                    <a:ext uri="{FF2B5EF4-FFF2-40B4-BE49-F238E27FC236}">
                      <a16:creationId xmlns:a16="http://schemas.microsoft.com/office/drawing/2014/main" id="{00000000-0008-0000-0200-000010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0485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17" name="Obraz 16">
                  <a:extLst>
                    <a:ext uri="{FF2B5EF4-FFF2-40B4-BE49-F238E27FC236}">
                      <a16:creationId xmlns:a16="http://schemas.microsoft.com/office/drawing/2014/main" id="{00000000-0008-0000-0200-000011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40970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18" name="Obraz 17">
                  <a:extLst>
                    <a:ext uri="{FF2B5EF4-FFF2-40B4-BE49-F238E27FC236}">
                      <a16:creationId xmlns:a16="http://schemas.microsoft.com/office/drawing/2014/main" id="{00000000-0008-0000-0200-000012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2114550" y="0"/>
                  <a:ext cx="707078" cy="298679"/>
                </a:xfrm>
                <a:prstGeom prst="rect">
                  <a:avLst/>
                </a:prstGeom>
              </xdr:spPr>
            </xdr:pic>
          </xdr:grpSp>
        </xdr:grpSp>
        <xdr:grpSp>
          <xdr:nvGrpSpPr>
            <xdr:cNvPr id="6" name="Grupa 5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GrpSpPr/>
          </xdr:nvGrpSpPr>
          <xdr:grpSpPr>
            <a:xfrm>
              <a:off x="8458200" y="0"/>
              <a:ext cx="2821628" cy="298679"/>
              <a:chOff x="0" y="0"/>
              <a:chExt cx="2821628" cy="298679"/>
            </a:xfrm>
          </xdr:grpSpPr>
          <xdr:pic>
            <xdr:nvPicPr>
              <xdr:cNvPr id="8" name="Obraz 7">
                <a:extLst>
                  <a:ext uri="{FF2B5EF4-FFF2-40B4-BE49-F238E27FC236}">
                    <a16:creationId xmlns:a16="http://schemas.microsoft.com/office/drawing/2014/main" id="{00000000-0008-0000-0200-000008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0" y="0"/>
                <a:ext cx="707078" cy="298679"/>
              </a:xfrm>
              <a:prstGeom prst="rect">
                <a:avLst/>
              </a:prstGeom>
            </xdr:spPr>
          </xdr:pic>
          <xdr:pic>
            <xdr:nvPicPr>
              <xdr:cNvPr id="9" name="Obraz 8">
                <a:extLst>
                  <a:ext uri="{FF2B5EF4-FFF2-40B4-BE49-F238E27FC236}">
                    <a16:creationId xmlns:a16="http://schemas.microsoft.com/office/drawing/2014/main" id="{00000000-0008-0000-0200-000009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704850" y="0"/>
                <a:ext cx="707078" cy="298679"/>
              </a:xfrm>
              <a:prstGeom prst="rect">
                <a:avLst/>
              </a:prstGeom>
            </xdr:spPr>
          </xdr:pic>
          <xdr:pic>
            <xdr:nvPicPr>
              <xdr:cNvPr id="10" name="Obraz 9">
                <a:extLst>
                  <a:ext uri="{FF2B5EF4-FFF2-40B4-BE49-F238E27FC236}">
                    <a16:creationId xmlns:a16="http://schemas.microsoft.com/office/drawing/2014/main" id="{00000000-0008-0000-0200-00000A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409700" y="0"/>
                <a:ext cx="707078" cy="298679"/>
              </a:xfrm>
              <a:prstGeom prst="rect">
                <a:avLst/>
              </a:prstGeom>
            </xdr:spPr>
          </xdr:pic>
          <xdr:pic>
            <xdr:nvPicPr>
              <xdr:cNvPr id="11" name="Obraz 10">
                <a:extLst>
                  <a:ext uri="{FF2B5EF4-FFF2-40B4-BE49-F238E27FC236}">
                    <a16:creationId xmlns:a16="http://schemas.microsoft.com/office/drawing/2014/main" id="{00000000-0008-0000-0200-00000B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2114550" y="0"/>
                <a:ext cx="707078" cy="298679"/>
              </a:xfrm>
              <a:prstGeom prst="rect">
                <a:avLst/>
              </a:prstGeom>
            </xdr:spPr>
          </xdr:pic>
        </xdr:grpSp>
        <xdr:pic>
          <xdr:nvPicPr>
            <xdr:cNvPr id="7" name="Obraz 6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1277600" y="0"/>
              <a:ext cx="707078" cy="298679"/>
            </a:xfrm>
            <a:prstGeom prst="rect">
              <a:avLst/>
            </a:prstGeom>
          </xdr:spPr>
        </xdr:pic>
      </xdr:grpSp>
      <xdr:pic>
        <xdr:nvPicPr>
          <xdr:cNvPr id="50" name="Obraz 49">
            <a:extLst>
              <a:ext uri="{FF2B5EF4-FFF2-40B4-BE49-F238E27FC236}">
                <a16:creationId xmlns:a16="http://schemas.microsoft.com/office/drawing/2014/main" id="{00000000-0008-0000-0200-00003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007498" y="10885"/>
            <a:ext cx="826546" cy="353786"/>
          </a:xfrm>
          <a:prstGeom prst="rect">
            <a:avLst/>
          </a:prstGeom>
        </xdr:spPr>
      </xdr:pic>
      <xdr:pic>
        <xdr:nvPicPr>
          <xdr:cNvPr id="51" name="Obraz 50">
            <a:extLst>
              <a:ext uri="{FF2B5EF4-FFF2-40B4-BE49-F238E27FC236}">
                <a16:creationId xmlns:a16="http://schemas.microsoft.com/office/drawing/2014/main" id="{00000000-0008-0000-0200-00003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834813" y="0"/>
            <a:ext cx="826546" cy="353786"/>
          </a:xfrm>
          <a:prstGeom prst="rect">
            <a:avLst/>
          </a:prstGeom>
        </xdr:spPr>
      </xdr:pic>
      <xdr:pic>
        <xdr:nvPicPr>
          <xdr:cNvPr id="52" name="Obraz 51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662127" y="0"/>
            <a:ext cx="826546" cy="353786"/>
          </a:xfrm>
          <a:prstGeom prst="rect">
            <a:avLst/>
          </a:prstGeom>
        </xdr:spPr>
      </xdr:pic>
      <xdr:pic>
        <xdr:nvPicPr>
          <xdr:cNvPr id="53" name="Obraz 52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467670" y="0"/>
            <a:ext cx="826546" cy="353786"/>
          </a:xfrm>
          <a:prstGeom prst="rect">
            <a:avLst/>
          </a:prstGeom>
        </xdr:spPr>
      </xdr:pic>
      <xdr:pic>
        <xdr:nvPicPr>
          <xdr:cNvPr id="54" name="Obraz 53">
            <a:extLst>
              <a:ext uri="{FF2B5EF4-FFF2-40B4-BE49-F238E27FC236}">
                <a16:creationId xmlns:a16="http://schemas.microsoft.com/office/drawing/2014/main" id="{00000000-0008-0000-0200-00003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294984" y="0"/>
            <a:ext cx="826546" cy="353786"/>
          </a:xfrm>
          <a:prstGeom prst="rect">
            <a:avLst/>
          </a:prstGeom>
        </xdr:spPr>
      </xdr:pic>
      <xdr:pic>
        <xdr:nvPicPr>
          <xdr:cNvPr id="55" name="Obraz 54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850155" y="0"/>
            <a:ext cx="826546" cy="353786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258536</xdr:colOff>
      <xdr:row>86</xdr:row>
      <xdr:rowOff>349704</xdr:rowOff>
    </xdr:from>
    <xdr:to>
      <xdr:col>11</xdr:col>
      <xdr:colOff>506185</xdr:colOff>
      <xdr:row>121</xdr:row>
      <xdr:rowOff>140154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733425</xdr:colOff>
      <xdr:row>44</xdr:row>
      <xdr:rowOff>68107</xdr:rowOff>
    </xdr:from>
    <xdr:to>
      <xdr:col>11</xdr:col>
      <xdr:colOff>247650</xdr:colOff>
      <xdr:row>80</xdr:row>
      <xdr:rowOff>15548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12</xdr:col>
      <xdr:colOff>114212</xdr:colOff>
      <xdr:row>0</xdr:row>
      <xdr:rowOff>364671</xdr:rowOff>
    </xdr:to>
    <xdr:grpSp>
      <xdr:nvGrpSpPr>
        <xdr:cNvPr id="31" name="Grupa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pSpPr/>
      </xdr:nvGrpSpPr>
      <xdr:grpSpPr>
        <a:xfrm>
          <a:off x="0" y="0"/>
          <a:ext cx="16802012" cy="364671"/>
          <a:chOff x="8469" y="0"/>
          <a:chExt cx="17285747" cy="364671"/>
        </a:xfrm>
      </xdr:grpSpPr>
      <xdr:grpSp>
        <xdr:nvGrpSpPr>
          <xdr:cNvPr id="32" name="Grupa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GrpSpPr/>
        </xdr:nvGrpSpPr>
        <xdr:grpSpPr>
          <a:xfrm>
            <a:off x="8469" y="0"/>
            <a:ext cx="14009610" cy="353786"/>
            <a:chOff x="0" y="0"/>
            <a:chExt cx="11984678" cy="298679"/>
          </a:xfrm>
        </xdr:grpSpPr>
        <xdr:grpSp>
          <xdr:nvGrpSpPr>
            <xdr:cNvPr id="39" name="Grupa 38">
              <a:extLst>
                <a:ext uri="{FF2B5EF4-FFF2-40B4-BE49-F238E27FC236}">
                  <a16:creationId xmlns:a16="http://schemas.microsoft.com/office/drawing/2014/main" id="{00000000-0008-0000-0100-000027000000}"/>
                </a:ext>
              </a:extLst>
            </xdr:cNvPr>
            <xdr:cNvGrpSpPr/>
          </xdr:nvGrpSpPr>
          <xdr:grpSpPr>
            <a:xfrm>
              <a:off x="0" y="0"/>
              <a:ext cx="8460428" cy="298679"/>
              <a:chOff x="0" y="0"/>
              <a:chExt cx="8460428" cy="298679"/>
            </a:xfrm>
          </xdr:grpSpPr>
          <xdr:grpSp>
            <xdr:nvGrpSpPr>
              <xdr:cNvPr id="46" name="Grupa 45">
                <a:extLst>
                  <a:ext uri="{FF2B5EF4-FFF2-40B4-BE49-F238E27FC236}">
                    <a16:creationId xmlns:a16="http://schemas.microsoft.com/office/drawing/2014/main" id="{00000000-0008-0000-0100-00002E000000}"/>
                  </a:ext>
                </a:extLst>
              </xdr:cNvPr>
              <xdr:cNvGrpSpPr/>
            </xdr:nvGrpSpPr>
            <xdr:grpSpPr>
              <a:xfrm>
                <a:off x="0" y="0"/>
                <a:ext cx="2821628" cy="298679"/>
                <a:chOff x="0" y="0"/>
                <a:chExt cx="2821628" cy="298679"/>
              </a:xfrm>
            </xdr:grpSpPr>
            <xdr:pic>
              <xdr:nvPicPr>
                <xdr:cNvPr id="57" name="Obraz 56">
                  <a:extLst>
                    <a:ext uri="{FF2B5EF4-FFF2-40B4-BE49-F238E27FC236}">
                      <a16:creationId xmlns:a16="http://schemas.microsoft.com/office/drawing/2014/main" id="{00000000-0008-0000-0100-000039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58" name="Obraz 57">
                  <a:extLst>
                    <a:ext uri="{FF2B5EF4-FFF2-40B4-BE49-F238E27FC236}">
                      <a16:creationId xmlns:a16="http://schemas.microsoft.com/office/drawing/2014/main" id="{00000000-0008-0000-0100-00003A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0485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59" name="Obraz 58">
                  <a:extLst>
                    <a:ext uri="{FF2B5EF4-FFF2-40B4-BE49-F238E27FC236}">
                      <a16:creationId xmlns:a16="http://schemas.microsoft.com/office/drawing/2014/main" id="{00000000-0008-0000-0100-00003B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40970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60" name="Obraz 59">
                  <a:extLst>
                    <a:ext uri="{FF2B5EF4-FFF2-40B4-BE49-F238E27FC236}">
                      <a16:creationId xmlns:a16="http://schemas.microsoft.com/office/drawing/2014/main" id="{00000000-0008-0000-0100-00003C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2114550" y="0"/>
                  <a:ext cx="707078" cy="298679"/>
                </a:xfrm>
                <a:prstGeom prst="rect">
                  <a:avLst/>
                </a:prstGeom>
              </xdr:spPr>
            </xdr:pic>
          </xdr:grpSp>
          <xdr:grpSp>
            <xdr:nvGrpSpPr>
              <xdr:cNvPr id="47" name="Grupa 46">
                <a:extLst>
                  <a:ext uri="{FF2B5EF4-FFF2-40B4-BE49-F238E27FC236}">
                    <a16:creationId xmlns:a16="http://schemas.microsoft.com/office/drawing/2014/main" id="{00000000-0008-0000-0100-00002F000000}"/>
                  </a:ext>
                </a:extLst>
              </xdr:cNvPr>
              <xdr:cNvGrpSpPr/>
            </xdr:nvGrpSpPr>
            <xdr:grpSpPr>
              <a:xfrm>
                <a:off x="2819400" y="0"/>
                <a:ext cx="2821628" cy="298679"/>
                <a:chOff x="0" y="0"/>
                <a:chExt cx="2821628" cy="298679"/>
              </a:xfrm>
            </xdr:grpSpPr>
            <xdr:pic>
              <xdr:nvPicPr>
                <xdr:cNvPr id="53" name="Obraz 52">
                  <a:extLst>
                    <a:ext uri="{FF2B5EF4-FFF2-40B4-BE49-F238E27FC236}">
                      <a16:creationId xmlns:a16="http://schemas.microsoft.com/office/drawing/2014/main" id="{00000000-0008-0000-0100-000035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54" name="Obraz 53">
                  <a:extLst>
                    <a:ext uri="{FF2B5EF4-FFF2-40B4-BE49-F238E27FC236}">
                      <a16:creationId xmlns:a16="http://schemas.microsoft.com/office/drawing/2014/main" id="{00000000-0008-0000-0100-000036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0485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55" name="Obraz 54">
                  <a:extLst>
                    <a:ext uri="{FF2B5EF4-FFF2-40B4-BE49-F238E27FC236}">
                      <a16:creationId xmlns:a16="http://schemas.microsoft.com/office/drawing/2014/main" id="{00000000-0008-0000-0100-000037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40970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56" name="Obraz 55">
                  <a:extLst>
                    <a:ext uri="{FF2B5EF4-FFF2-40B4-BE49-F238E27FC236}">
                      <a16:creationId xmlns:a16="http://schemas.microsoft.com/office/drawing/2014/main" id="{00000000-0008-0000-0100-000038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2114550" y="0"/>
                  <a:ext cx="707078" cy="298679"/>
                </a:xfrm>
                <a:prstGeom prst="rect">
                  <a:avLst/>
                </a:prstGeom>
              </xdr:spPr>
            </xdr:pic>
          </xdr:grpSp>
          <xdr:grpSp>
            <xdr:nvGrpSpPr>
              <xdr:cNvPr id="48" name="Grupa 47">
                <a:extLst>
                  <a:ext uri="{FF2B5EF4-FFF2-40B4-BE49-F238E27FC236}">
                    <a16:creationId xmlns:a16="http://schemas.microsoft.com/office/drawing/2014/main" id="{00000000-0008-0000-0100-000030000000}"/>
                  </a:ext>
                </a:extLst>
              </xdr:cNvPr>
              <xdr:cNvGrpSpPr/>
            </xdr:nvGrpSpPr>
            <xdr:grpSpPr>
              <a:xfrm>
                <a:off x="5638800" y="0"/>
                <a:ext cx="2821628" cy="298679"/>
                <a:chOff x="0" y="0"/>
                <a:chExt cx="2821628" cy="298679"/>
              </a:xfrm>
            </xdr:grpSpPr>
            <xdr:pic>
              <xdr:nvPicPr>
                <xdr:cNvPr id="49" name="Obraz 48">
                  <a:extLst>
                    <a:ext uri="{FF2B5EF4-FFF2-40B4-BE49-F238E27FC236}">
                      <a16:creationId xmlns:a16="http://schemas.microsoft.com/office/drawing/2014/main" id="{00000000-0008-0000-0100-000031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50" name="Obraz 49">
                  <a:extLst>
                    <a:ext uri="{FF2B5EF4-FFF2-40B4-BE49-F238E27FC236}">
                      <a16:creationId xmlns:a16="http://schemas.microsoft.com/office/drawing/2014/main" id="{00000000-0008-0000-0100-000032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0485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51" name="Obraz 50">
                  <a:extLst>
                    <a:ext uri="{FF2B5EF4-FFF2-40B4-BE49-F238E27FC236}">
                      <a16:creationId xmlns:a16="http://schemas.microsoft.com/office/drawing/2014/main" id="{00000000-0008-0000-0100-000033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40970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52" name="Obraz 51">
                  <a:extLst>
                    <a:ext uri="{FF2B5EF4-FFF2-40B4-BE49-F238E27FC236}">
                      <a16:creationId xmlns:a16="http://schemas.microsoft.com/office/drawing/2014/main" id="{00000000-0008-0000-0100-000034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2114550" y="0"/>
                  <a:ext cx="707078" cy="298679"/>
                </a:xfrm>
                <a:prstGeom prst="rect">
                  <a:avLst/>
                </a:prstGeom>
              </xdr:spPr>
            </xdr:pic>
          </xdr:grpSp>
        </xdr:grpSp>
        <xdr:grpSp>
          <xdr:nvGrpSpPr>
            <xdr:cNvPr id="40" name="Grupa 39">
              <a:extLst>
                <a:ext uri="{FF2B5EF4-FFF2-40B4-BE49-F238E27FC236}">
                  <a16:creationId xmlns:a16="http://schemas.microsoft.com/office/drawing/2014/main" id="{00000000-0008-0000-0100-000028000000}"/>
                </a:ext>
              </a:extLst>
            </xdr:cNvPr>
            <xdr:cNvGrpSpPr/>
          </xdr:nvGrpSpPr>
          <xdr:grpSpPr>
            <a:xfrm>
              <a:off x="8458200" y="0"/>
              <a:ext cx="2821628" cy="298679"/>
              <a:chOff x="0" y="0"/>
              <a:chExt cx="2821628" cy="298679"/>
            </a:xfrm>
          </xdr:grpSpPr>
          <xdr:pic>
            <xdr:nvPicPr>
              <xdr:cNvPr id="42" name="Obraz 41">
                <a:extLst>
                  <a:ext uri="{FF2B5EF4-FFF2-40B4-BE49-F238E27FC236}">
                    <a16:creationId xmlns:a16="http://schemas.microsoft.com/office/drawing/2014/main" id="{00000000-0008-0000-0100-00002A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0" y="0"/>
                <a:ext cx="707078" cy="298679"/>
              </a:xfrm>
              <a:prstGeom prst="rect">
                <a:avLst/>
              </a:prstGeom>
            </xdr:spPr>
          </xdr:pic>
          <xdr:pic>
            <xdr:nvPicPr>
              <xdr:cNvPr id="43" name="Obraz 42">
                <a:extLst>
                  <a:ext uri="{FF2B5EF4-FFF2-40B4-BE49-F238E27FC236}">
                    <a16:creationId xmlns:a16="http://schemas.microsoft.com/office/drawing/2014/main" id="{00000000-0008-0000-0100-00002B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704850" y="0"/>
                <a:ext cx="707078" cy="298679"/>
              </a:xfrm>
              <a:prstGeom prst="rect">
                <a:avLst/>
              </a:prstGeom>
            </xdr:spPr>
          </xdr:pic>
          <xdr:pic>
            <xdr:nvPicPr>
              <xdr:cNvPr id="44" name="Obraz 43">
                <a:extLst>
                  <a:ext uri="{FF2B5EF4-FFF2-40B4-BE49-F238E27FC236}">
                    <a16:creationId xmlns:a16="http://schemas.microsoft.com/office/drawing/2014/main" id="{00000000-0008-0000-0100-00002C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409700" y="0"/>
                <a:ext cx="707078" cy="298679"/>
              </a:xfrm>
              <a:prstGeom prst="rect">
                <a:avLst/>
              </a:prstGeom>
            </xdr:spPr>
          </xdr:pic>
          <xdr:pic>
            <xdr:nvPicPr>
              <xdr:cNvPr id="45" name="Obraz 44">
                <a:extLst>
                  <a:ext uri="{FF2B5EF4-FFF2-40B4-BE49-F238E27FC236}">
                    <a16:creationId xmlns:a16="http://schemas.microsoft.com/office/drawing/2014/main" id="{00000000-0008-0000-0100-00002D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2114550" y="0"/>
                <a:ext cx="707078" cy="298679"/>
              </a:xfrm>
              <a:prstGeom prst="rect">
                <a:avLst/>
              </a:prstGeom>
            </xdr:spPr>
          </xdr:pic>
        </xdr:grpSp>
        <xdr:pic>
          <xdr:nvPicPr>
            <xdr:cNvPr id="41" name="Obraz 40">
              <a:extLst>
                <a:ext uri="{FF2B5EF4-FFF2-40B4-BE49-F238E27FC236}">
                  <a16:creationId xmlns:a16="http://schemas.microsoft.com/office/drawing/2014/main" id="{00000000-0008-0000-0100-000029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1277600" y="0"/>
              <a:ext cx="707078" cy="298679"/>
            </a:xfrm>
            <a:prstGeom prst="rect">
              <a:avLst/>
            </a:prstGeom>
          </xdr:spPr>
        </xdr:pic>
      </xdr:grpSp>
      <xdr:pic>
        <xdr:nvPicPr>
          <xdr:cNvPr id="33" name="Obraz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007498" y="10885"/>
            <a:ext cx="826546" cy="353786"/>
          </a:xfrm>
          <a:prstGeom prst="rect">
            <a:avLst/>
          </a:prstGeom>
        </xdr:spPr>
      </xdr:pic>
      <xdr:pic>
        <xdr:nvPicPr>
          <xdr:cNvPr id="34" name="Obraz 33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834813" y="0"/>
            <a:ext cx="826546" cy="353786"/>
          </a:xfrm>
          <a:prstGeom prst="rect">
            <a:avLst/>
          </a:prstGeom>
        </xdr:spPr>
      </xdr:pic>
      <xdr:pic>
        <xdr:nvPicPr>
          <xdr:cNvPr id="35" name="Obraz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662127" y="0"/>
            <a:ext cx="826546" cy="353786"/>
          </a:xfrm>
          <a:prstGeom prst="rect">
            <a:avLst/>
          </a:prstGeom>
        </xdr:spPr>
      </xdr:pic>
      <xdr:pic>
        <xdr:nvPicPr>
          <xdr:cNvPr id="36" name="Obraz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467670" y="0"/>
            <a:ext cx="826546" cy="353786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717176</xdr:colOff>
      <xdr:row>86</xdr:row>
      <xdr:rowOff>142875</xdr:rowOff>
    </xdr:from>
    <xdr:to>
      <xdr:col>10</xdr:col>
      <xdr:colOff>1119186</xdr:colOff>
      <xdr:row>122</xdr:row>
      <xdr:rowOff>10645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466726</xdr:colOff>
      <xdr:row>43</xdr:row>
      <xdr:rowOff>119063</xdr:rowOff>
    </xdr:from>
    <xdr:to>
      <xdr:col>10</xdr:col>
      <xdr:colOff>1190625</xdr:colOff>
      <xdr:row>79</xdr:row>
      <xdr:rowOff>178033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8469</xdr:colOff>
      <xdr:row>0</xdr:row>
      <xdr:rowOff>0</xdr:rowOff>
    </xdr:from>
    <xdr:to>
      <xdr:col>10</xdr:col>
      <xdr:colOff>1481355</xdr:colOff>
      <xdr:row>0</xdr:row>
      <xdr:rowOff>364671</xdr:rowOff>
    </xdr:to>
    <xdr:grpSp>
      <xdr:nvGrpSpPr>
        <xdr:cNvPr id="4" name="Grupa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/>
      </xdr:nvGrpSpPr>
      <xdr:grpSpPr>
        <a:xfrm>
          <a:off x="8469" y="0"/>
          <a:ext cx="18170211" cy="364671"/>
          <a:chOff x="8469" y="0"/>
          <a:chExt cx="18668232" cy="364671"/>
        </a:xfrm>
      </xdr:grpSpPr>
      <xdr:grpSp>
        <xdr:nvGrpSpPr>
          <xdr:cNvPr id="5" name="Grupa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GrpSpPr/>
        </xdr:nvGrpSpPr>
        <xdr:grpSpPr>
          <a:xfrm>
            <a:off x="8469" y="0"/>
            <a:ext cx="14009610" cy="353786"/>
            <a:chOff x="0" y="0"/>
            <a:chExt cx="11984678" cy="298679"/>
          </a:xfrm>
        </xdr:grpSpPr>
        <xdr:grpSp>
          <xdr:nvGrpSpPr>
            <xdr:cNvPr id="12" name="Grupa 11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GrpSpPr/>
          </xdr:nvGrpSpPr>
          <xdr:grpSpPr>
            <a:xfrm>
              <a:off x="0" y="0"/>
              <a:ext cx="8460428" cy="298679"/>
              <a:chOff x="0" y="0"/>
              <a:chExt cx="8460428" cy="298679"/>
            </a:xfrm>
          </xdr:grpSpPr>
          <xdr:grpSp>
            <xdr:nvGrpSpPr>
              <xdr:cNvPr id="19" name="Grupa 18">
                <a:extLst>
                  <a:ext uri="{FF2B5EF4-FFF2-40B4-BE49-F238E27FC236}">
                    <a16:creationId xmlns:a16="http://schemas.microsoft.com/office/drawing/2014/main" id="{00000000-0008-0000-0300-000013000000}"/>
                  </a:ext>
                </a:extLst>
              </xdr:cNvPr>
              <xdr:cNvGrpSpPr/>
            </xdr:nvGrpSpPr>
            <xdr:grpSpPr>
              <a:xfrm>
                <a:off x="0" y="0"/>
                <a:ext cx="2821628" cy="298679"/>
                <a:chOff x="0" y="0"/>
                <a:chExt cx="2821628" cy="298679"/>
              </a:xfrm>
            </xdr:grpSpPr>
            <xdr:pic>
              <xdr:nvPicPr>
                <xdr:cNvPr id="30" name="Obraz 29">
                  <a:extLst>
                    <a:ext uri="{FF2B5EF4-FFF2-40B4-BE49-F238E27FC236}">
                      <a16:creationId xmlns:a16="http://schemas.microsoft.com/office/drawing/2014/main" id="{00000000-0008-0000-0300-00001E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31" name="Obraz 30">
                  <a:extLst>
                    <a:ext uri="{FF2B5EF4-FFF2-40B4-BE49-F238E27FC236}">
                      <a16:creationId xmlns:a16="http://schemas.microsoft.com/office/drawing/2014/main" id="{00000000-0008-0000-0300-00001F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0485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32" name="Obraz 31">
                  <a:extLst>
                    <a:ext uri="{FF2B5EF4-FFF2-40B4-BE49-F238E27FC236}">
                      <a16:creationId xmlns:a16="http://schemas.microsoft.com/office/drawing/2014/main" id="{00000000-0008-0000-0300-000020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40970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33" name="Obraz 32">
                  <a:extLst>
                    <a:ext uri="{FF2B5EF4-FFF2-40B4-BE49-F238E27FC236}">
                      <a16:creationId xmlns:a16="http://schemas.microsoft.com/office/drawing/2014/main" id="{00000000-0008-0000-0300-000021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2114550" y="0"/>
                  <a:ext cx="707078" cy="298679"/>
                </a:xfrm>
                <a:prstGeom prst="rect">
                  <a:avLst/>
                </a:prstGeom>
              </xdr:spPr>
            </xdr:pic>
          </xdr:grpSp>
          <xdr:grpSp>
            <xdr:nvGrpSpPr>
              <xdr:cNvPr id="20" name="Grupa 19">
                <a:extLst>
                  <a:ext uri="{FF2B5EF4-FFF2-40B4-BE49-F238E27FC236}">
                    <a16:creationId xmlns:a16="http://schemas.microsoft.com/office/drawing/2014/main" id="{00000000-0008-0000-0300-000014000000}"/>
                  </a:ext>
                </a:extLst>
              </xdr:cNvPr>
              <xdr:cNvGrpSpPr/>
            </xdr:nvGrpSpPr>
            <xdr:grpSpPr>
              <a:xfrm>
                <a:off x="2819400" y="0"/>
                <a:ext cx="2821628" cy="298679"/>
                <a:chOff x="0" y="0"/>
                <a:chExt cx="2821628" cy="298679"/>
              </a:xfrm>
            </xdr:grpSpPr>
            <xdr:pic>
              <xdr:nvPicPr>
                <xdr:cNvPr id="26" name="Obraz 25">
                  <a:extLst>
                    <a:ext uri="{FF2B5EF4-FFF2-40B4-BE49-F238E27FC236}">
                      <a16:creationId xmlns:a16="http://schemas.microsoft.com/office/drawing/2014/main" id="{00000000-0008-0000-0300-00001A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27" name="Obraz 26">
                  <a:extLst>
                    <a:ext uri="{FF2B5EF4-FFF2-40B4-BE49-F238E27FC236}">
                      <a16:creationId xmlns:a16="http://schemas.microsoft.com/office/drawing/2014/main" id="{00000000-0008-0000-0300-00001B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0485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28" name="Obraz 27">
                  <a:extLst>
                    <a:ext uri="{FF2B5EF4-FFF2-40B4-BE49-F238E27FC236}">
                      <a16:creationId xmlns:a16="http://schemas.microsoft.com/office/drawing/2014/main" id="{00000000-0008-0000-0300-00001C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40970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29" name="Obraz 28">
                  <a:extLst>
                    <a:ext uri="{FF2B5EF4-FFF2-40B4-BE49-F238E27FC236}">
                      <a16:creationId xmlns:a16="http://schemas.microsoft.com/office/drawing/2014/main" id="{00000000-0008-0000-0300-00001D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2114550" y="0"/>
                  <a:ext cx="707078" cy="298679"/>
                </a:xfrm>
                <a:prstGeom prst="rect">
                  <a:avLst/>
                </a:prstGeom>
              </xdr:spPr>
            </xdr:pic>
          </xdr:grpSp>
          <xdr:grpSp>
            <xdr:nvGrpSpPr>
              <xdr:cNvPr id="21" name="Grupa 20">
                <a:extLst>
                  <a:ext uri="{FF2B5EF4-FFF2-40B4-BE49-F238E27FC236}">
                    <a16:creationId xmlns:a16="http://schemas.microsoft.com/office/drawing/2014/main" id="{00000000-0008-0000-0300-000015000000}"/>
                  </a:ext>
                </a:extLst>
              </xdr:cNvPr>
              <xdr:cNvGrpSpPr/>
            </xdr:nvGrpSpPr>
            <xdr:grpSpPr>
              <a:xfrm>
                <a:off x="5638800" y="0"/>
                <a:ext cx="2821628" cy="298679"/>
                <a:chOff x="0" y="0"/>
                <a:chExt cx="2821628" cy="298679"/>
              </a:xfrm>
            </xdr:grpSpPr>
            <xdr:pic>
              <xdr:nvPicPr>
                <xdr:cNvPr id="22" name="Obraz 21">
                  <a:extLst>
                    <a:ext uri="{FF2B5EF4-FFF2-40B4-BE49-F238E27FC236}">
                      <a16:creationId xmlns:a16="http://schemas.microsoft.com/office/drawing/2014/main" id="{00000000-0008-0000-0300-000016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23" name="Obraz 22">
                  <a:extLst>
                    <a:ext uri="{FF2B5EF4-FFF2-40B4-BE49-F238E27FC236}">
                      <a16:creationId xmlns:a16="http://schemas.microsoft.com/office/drawing/2014/main" id="{00000000-0008-0000-0300-000017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0485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24" name="Obraz 23">
                  <a:extLst>
                    <a:ext uri="{FF2B5EF4-FFF2-40B4-BE49-F238E27FC236}">
                      <a16:creationId xmlns:a16="http://schemas.microsoft.com/office/drawing/2014/main" id="{00000000-0008-0000-0300-000018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40970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25" name="Obraz 24">
                  <a:extLst>
                    <a:ext uri="{FF2B5EF4-FFF2-40B4-BE49-F238E27FC236}">
                      <a16:creationId xmlns:a16="http://schemas.microsoft.com/office/drawing/2014/main" id="{00000000-0008-0000-0300-000019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2114550" y="0"/>
                  <a:ext cx="707078" cy="298679"/>
                </a:xfrm>
                <a:prstGeom prst="rect">
                  <a:avLst/>
                </a:prstGeom>
              </xdr:spPr>
            </xdr:pic>
          </xdr:grpSp>
        </xdr:grpSp>
        <xdr:grpSp>
          <xdr:nvGrpSpPr>
            <xdr:cNvPr id="13" name="Grupa 12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GrpSpPr/>
          </xdr:nvGrpSpPr>
          <xdr:grpSpPr>
            <a:xfrm>
              <a:off x="8458200" y="0"/>
              <a:ext cx="2821628" cy="298679"/>
              <a:chOff x="0" y="0"/>
              <a:chExt cx="2821628" cy="298679"/>
            </a:xfrm>
          </xdr:grpSpPr>
          <xdr:pic>
            <xdr:nvPicPr>
              <xdr:cNvPr id="15" name="Obraz 14">
                <a:extLst>
                  <a:ext uri="{FF2B5EF4-FFF2-40B4-BE49-F238E27FC236}">
                    <a16:creationId xmlns:a16="http://schemas.microsoft.com/office/drawing/2014/main" id="{00000000-0008-0000-0300-00000F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0" y="0"/>
                <a:ext cx="707078" cy="298679"/>
              </a:xfrm>
              <a:prstGeom prst="rect">
                <a:avLst/>
              </a:prstGeom>
            </xdr:spPr>
          </xdr:pic>
          <xdr:pic>
            <xdr:nvPicPr>
              <xdr:cNvPr id="16" name="Obraz 15">
                <a:extLst>
                  <a:ext uri="{FF2B5EF4-FFF2-40B4-BE49-F238E27FC236}">
                    <a16:creationId xmlns:a16="http://schemas.microsoft.com/office/drawing/2014/main" id="{00000000-0008-0000-0300-000010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704850" y="0"/>
                <a:ext cx="707078" cy="298679"/>
              </a:xfrm>
              <a:prstGeom prst="rect">
                <a:avLst/>
              </a:prstGeom>
            </xdr:spPr>
          </xdr:pic>
          <xdr:pic>
            <xdr:nvPicPr>
              <xdr:cNvPr id="17" name="Obraz 16">
                <a:extLst>
                  <a:ext uri="{FF2B5EF4-FFF2-40B4-BE49-F238E27FC236}">
                    <a16:creationId xmlns:a16="http://schemas.microsoft.com/office/drawing/2014/main" id="{00000000-0008-0000-0300-000011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409700" y="0"/>
                <a:ext cx="707078" cy="298679"/>
              </a:xfrm>
              <a:prstGeom prst="rect">
                <a:avLst/>
              </a:prstGeom>
            </xdr:spPr>
          </xdr:pic>
          <xdr:pic>
            <xdr:nvPicPr>
              <xdr:cNvPr id="18" name="Obraz 17">
                <a:extLst>
                  <a:ext uri="{FF2B5EF4-FFF2-40B4-BE49-F238E27FC236}">
                    <a16:creationId xmlns:a16="http://schemas.microsoft.com/office/drawing/2014/main" id="{00000000-0008-0000-0300-000012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2114550" y="0"/>
                <a:ext cx="707078" cy="298679"/>
              </a:xfrm>
              <a:prstGeom prst="rect">
                <a:avLst/>
              </a:prstGeom>
            </xdr:spPr>
          </xdr:pic>
        </xdr:grpSp>
        <xdr:pic>
          <xdr:nvPicPr>
            <xdr:cNvPr id="14" name="Obraz 13">
              <a:extLs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1277600" y="0"/>
              <a:ext cx="707078" cy="298679"/>
            </a:xfrm>
            <a:prstGeom prst="rect">
              <a:avLst/>
            </a:prstGeom>
          </xdr:spPr>
        </xdr:pic>
      </xdr:grpSp>
      <xdr:pic>
        <xdr:nvPicPr>
          <xdr:cNvPr id="6" name="Obraz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007498" y="10885"/>
            <a:ext cx="826546" cy="353786"/>
          </a:xfrm>
          <a:prstGeom prst="rect">
            <a:avLst/>
          </a:prstGeom>
        </xdr:spPr>
      </xdr:pic>
      <xdr:pic>
        <xdr:nvPicPr>
          <xdr:cNvPr id="7" name="Obraz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834813" y="0"/>
            <a:ext cx="826546" cy="353786"/>
          </a:xfrm>
          <a:prstGeom prst="rect">
            <a:avLst/>
          </a:prstGeom>
        </xdr:spPr>
      </xdr:pic>
      <xdr:pic>
        <xdr:nvPicPr>
          <xdr:cNvPr id="8" name="Obraz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662127" y="0"/>
            <a:ext cx="826546" cy="353786"/>
          </a:xfrm>
          <a:prstGeom prst="rect">
            <a:avLst/>
          </a:prstGeom>
        </xdr:spPr>
      </xdr:pic>
      <xdr:pic>
        <xdr:nvPicPr>
          <xdr:cNvPr id="9" name="Obraz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467670" y="0"/>
            <a:ext cx="826546" cy="353786"/>
          </a:xfrm>
          <a:prstGeom prst="rect">
            <a:avLst/>
          </a:prstGeom>
        </xdr:spPr>
      </xdr:pic>
      <xdr:pic>
        <xdr:nvPicPr>
          <xdr:cNvPr id="10" name="Obraz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294984" y="0"/>
            <a:ext cx="826546" cy="353786"/>
          </a:xfrm>
          <a:prstGeom prst="rect">
            <a:avLst/>
          </a:prstGeom>
        </xdr:spPr>
      </xdr:pic>
      <xdr:pic>
        <xdr:nvPicPr>
          <xdr:cNvPr id="11" name="Obraz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850155" y="0"/>
            <a:ext cx="826546" cy="353786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717176</xdr:colOff>
      <xdr:row>85</xdr:row>
      <xdr:rowOff>142875</xdr:rowOff>
    </xdr:from>
    <xdr:to>
      <xdr:col>10</xdr:col>
      <xdr:colOff>1119186</xdr:colOff>
      <xdr:row>121</xdr:row>
      <xdr:rowOff>10645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234FAC5-EA0F-4521-82E3-E7F859A7D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466726</xdr:colOff>
      <xdr:row>43</xdr:row>
      <xdr:rowOff>119063</xdr:rowOff>
    </xdr:from>
    <xdr:to>
      <xdr:col>10</xdr:col>
      <xdr:colOff>1190625</xdr:colOff>
      <xdr:row>79</xdr:row>
      <xdr:rowOff>178033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4F58C727-164E-40B5-A59B-BF2AF71C6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8469</xdr:colOff>
      <xdr:row>0</xdr:row>
      <xdr:rowOff>0</xdr:rowOff>
    </xdr:from>
    <xdr:to>
      <xdr:col>10</xdr:col>
      <xdr:colOff>1481355</xdr:colOff>
      <xdr:row>0</xdr:row>
      <xdr:rowOff>364671</xdr:rowOff>
    </xdr:to>
    <xdr:grpSp>
      <xdr:nvGrpSpPr>
        <xdr:cNvPr id="4" name="Grupa 3">
          <a:extLst>
            <a:ext uri="{FF2B5EF4-FFF2-40B4-BE49-F238E27FC236}">
              <a16:creationId xmlns:a16="http://schemas.microsoft.com/office/drawing/2014/main" id="{11F334BD-1898-48F9-8E78-E2E5AE021859}"/>
            </a:ext>
          </a:extLst>
        </xdr:cNvPr>
        <xdr:cNvGrpSpPr/>
      </xdr:nvGrpSpPr>
      <xdr:grpSpPr>
        <a:xfrm>
          <a:off x="8469" y="0"/>
          <a:ext cx="18170211" cy="364671"/>
          <a:chOff x="8469" y="0"/>
          <a:chExt cx="18668232" cy="364671"/>
        </a:xfrm>
      </xdr:grpSpPr>
      <xdr:grpSp>
        <xdr:nvGrpSpPr>
          <xdr:cNvPr id="5" name="Grupa 4">
            <a:extLst>
              <a:ext uri="{FF2B5EF4-FFF2-40B4-BE49-F238E27FC236}">
                <a16:creationId xmlns:a16="http://schemas.microsoft.com/office/drawing/2014/main" id="{87A6602C-9E7B-48D4-9086-AFD10C92F10B}"/>
              </a:ext>
            </a:extLst>
          </xdr:cNvPr>
          <xdr:cNvGrpSpPr/>
        </xdr:nvGrpSpPr>
        <xdr:grpSpPr>
          <a:xfrm>
            <a:off x="8469" y="0"/>
            <a:ext cx="14009610" cy="353786"/>
            <a:chOff x="0" y="0"/>
            <a:chExt cx="11984678" cy="298679"/>
          </a:xfrm>
        </xdr:grpSpPr>
        <xdr:grpSp>
          <xdr:nvGrpSpPr>
            <xdr:cNvPr id="12" name="Grupa 11">
              <a:extLst>
                <a:ext uri="{FF2B5EF4-FFF2-40B4-BE49-F238E27FC236}">
                  <a16:creationId xmlns:a16="http://schemas.microsoft.com/office/drawing/2014/main" id="{8F83E541-A4E5-4E90-BE80-94BC00EF06B1}"/>
                </a:ext>
              </a:extLst>
            </xdr:cNvPr>
            <xdr:cNvGrpSpPr/>
          </xdr:nvGrpSpPr>
          <xdr:grpSpPr>
            <a:xfrm>
              <a:off x="0" y="0"/>
              <a:ext cx="8460428" cy="298679"/>
              <a:chOff x="0" y="0"/>
              <a:chExt cx="8460428" cy="298679"/>
            </a:xfrm>
          </xdr:grpSpPr>
          <xdr:grpSp>
            <xdr:nvGrpSpPr>
              <xdr:cNvPr id="19" name="Grupa 18">
                <a:extLst>
                  <a:ext uri="{FF2B5EF4-FFF2-40B4-BE49-F238E27FC236}">
                    <a16:creationId xmlns:a16="http://schemas.microsoft.com/office/drawing/2014/main" id="{80A018FA-B630-412B-B17E-8AA6860CFE2F}"/>
                  </a:ext>
                </a:extLst>
              </xdr:cNvPr>
              <xdr:cNvGrpSpPr/>
            </xdr:nvGrpSpPr>
            <xdr:grpSpPr>
              <a:xfrm>
                <a:off x="0" y="0"/>
                <a:ext cx="2821628" cy="298679"/>
                <a:chOff x="0" y="0"/>
                <a:chExt cx="2821628" cy="298679"/>
              </a:xfrm>
            </xdr:grpSpPr>
            <xdr:pic>
              <xdr:nvPicPr>
                <xdr:cNvPr id="30" name="Obraz 29">
                  <a:extLst>
                    <a:ext uri="{FF2B5EF4-FFF2-40B4-BE49-F238E27FC236}">
                      <a16:creationId xmlns:a16="http://schemas.microsoft.com/office/drawing/2014/main" id="{43FC8E16-A7F8-4714-B2B0-242B3A22B1C4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31" name="Obraz 30">
                  <a:extLst>
                    <a:ext uri="{FF2B5EF4-FFF2-40B4-BE49-F238E27FC236}">
                      <a16:creationId xmlns:a16="http://schemas.microsoft.com/office/drawing/2014/main" id="{D8CDDC53-CA77-4F5F-90B7-1E676FFAF34F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0485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32" name="Obraz 31">
                  <a:extLst>
                    <a:ext uri="{FF2B5EF4-FFF2-40B4-BE49-F238E27FC236}">
                      <a16:creationId xmlns:a16="http://schemas.microsoft.com/office/drawing/2014/main" id="{5DBDCEE2-1ABE-48F6-8661-9DA559485F4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40970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33" name="Obraz 32">
                  <a:extLst>
                    <a:ext uri="{FF2B5EF4-FFF2-40B4-BE49-F238E27FC236}">
                      <a16:creationId xmlns:a16="http://schemas.microsoft.com/office/drawing/2014/main" id="{3491B298-B9AD-40F3-BB70-5DBF9C4B2747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2114550" y="0"/>
                  <a:ext cx="707078" cy="298679"/>
                </a:xfrm>
                <a:prstGeom prst="rect">
                  <a:avLst/>
                </a:prstGeom>
              </xdr:spPr>
            </xdr:pic>
          </xdr:grpSp>
          <xdr:grpSp>
            <xdr:nvGrpSpPr>
              <xdr:cNvPr id="20" name="Grupa 19">
                <a:extLst>
                  <a:ext uri="{FF2B5EF4-FFF2-40B4-BE49-F238E27FC236}">
                    <a16:creationId xmlns:a16="http://schemas.microsoft.com/office/drawing/2014/main" id="{62AB1701-4F9E-40A2-8921-F36D0D60465D}"/>
                  </a:ext>
                </a:extLst>
              </xdr:cNvPr>
              <xdr:cNvGrpSpPr/>
            </xdr:nvGrpSpPr>
            <xdr:grpSpPr>
              <a:xfrm>
                <a:off x="2819400" y="0"/>
                <a:ext cx="2821628" cy="298679"/>
                <a:chOff x="0" y="0"/>
                <a:chExt cx="2821628" cy="298679"/>
              </a:xfrm>
            </xdr:grpSpPr>
            <xdr:pic>
              <xdr:nvPicPr>
                <xdr:cNvPr id="26" name="Obraz 25">
                  <a:extLst>
                    <a:ext uri="{FF2B5EF4-FFF2-40B4-BE49-F238E27FC236}">
                      <a16:creationId xmlns:a16="http://schemas.microsoft.com/office/drawing/2014/main" id="{488A2211-9164-4C5D-8967-25F8087A8F2B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27" name="Obraz 26">
                  <a:extLst>
                    <a:ext uri="{FF2B5EF4-FFF2-40B4-BE49-F238E27FC236}">
                      <a16:creationId xmlns:a16="http://schemas.microsoft.com/office/drawing/2014/main" id="{6A238877-6AD2-4E36-B478-B4289CD8225A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0485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28" name="Obraz 27">
                  <a:extLst>
                    <a:ext uri="{FF2B5EF4-FFF2-40B4-BE49-F238E27FC236}">
                      <a16:creationId xmlns:a16="http://schemas.microsoft.com/office/drawing/2014/main" id="{578A0A00-40CB-4A40-8F7C-AF964176BEFA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40970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29" name="Obraz 28">
                  <a:extLst>
                    <a:ext uri="{FF2B5EF4-FFF2-40B4-BE49-F238E27FC236}">
                      <a16:creationId xmlns:a16="http://schemas.microsoft.com/office/drawing/2014/main" id="{BF0A4B71-D2B9-4401-9E93-ED9F5AA4EDA2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2114550" y="0"/>
                  <a:ext cx="707078" cy="298679"/>
                </a:xfrm>
                <a:prstGeom prst="rect">
                  <a:avLst/>
                </a:prstGeom>
              </xdr:spPr>
            </xdr:pic>
          </xdr:grpSp>
          <xdr:grpSp>
            <xdr:nvGrpSpPr>
              <xdr:cNvPr id="21" name="Grupa 20">
                <a:extLst>
                  <a:ext uri="{FF2B5EF4-FFF2-40B4-BE49-F238E27FC236}">
                    <a16:creationId xmlns:a16="http://schemas.microsoft.com/office/drawing/2014/main" id="{1F95F73D-494C-4E24-83E3-F82526186118}"/>
                  </a:ext>
                </a:extLst>
              </xdr:cNvPr>
              <xdr:cNvGrpSpPr/>
            </xdr:nvGrpSpPr>
            <xdr:grpSpPr>
              <a:xfrm>
                <a:off x="5638800" y="0"/>
                <a:ext cx="2821628" cy="298679"/>
                <a:chOff x="0" y="0"/>
                <a:chExt cx="2821628" cy="298679"/>
              </a:xfrm>
            </xdr:grpSpPr>
            <xdr:pic>
              <xdr:nvPicPr>
                <xdr:cNvPr id="22" name="Obraz 21">
                  <a:extLst>
                    <a:ext uri="{FF2B5EF4-FFF2-40B4-BE49-F238E27FC236}">
                      <a16:creationId xmlns:a16="http://schemas.microsoft.com/office/drawing/2014/main" id="{6601FFF3-12E7-4B92-8766-A876CF3D5CBC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23" name="Obraz 22">
                  <a:extLst>
                    <a:ext uri="{FF2B5EF4-FFF2-40B4-BE49-F238E27FC236}">
                      <a16:creationId xmlns:a16="http://schemas.microsoft.com/office/drawing/2014/main" id="{202E3B7B-73DC-48C5-BBEB-180C3321FA3E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0485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24" name="Obraz 23">
                  <a:extLst>
                    <a:ext uri="{FF2B5EF4-FFF2-40B4-BE49-F238E27FC236}">
                      <a16:creationId xmlns:a16="http://schemas.microsoft.com/office/drawing/2014/main" id="{651CACBA-790E-47D8-A679-AFF4E7AEAA68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40970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25" name="Obraz 24">
                  <a:extLst>
                    <a:ext uri="{FF2B5EF4-FFF2-40B4-BE49-F238E27FC236}">
                      <a16:creationId xmlns:a16="http://schemas.microsoft.com/office/drawing/2014/main" id="{1D7B4278-95FE-466A-844C-A6B272552D4C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2114550" y="0"/>
                  <a:ext cx="707078" cy="298679"/>
                </a:xfrm>
                <a:prstGeom prst="rect">
                  <a:avLst/>
                </a:prstGeom>
              </xdr:spPr>
            </xdr:pic>
          </xdr:grpSp>
        </xdr:grpSp>
        <xdr:grpSp>
          <xdr:nvGrpSpPr>
            <xdr:cNvPr id="13" name="Grupa 12">
              <a:extLst>
                <a:ext uri="{FF2B5EF4-FFF2-40B4-BE49-F238E27FC236}">
                  <a16:creationId xmlns:a16="http://schemas.microsoft.com/office/drawing/2014/main" id="{0E1ABD9D-A823-4D35-985B-4F40B3D4A2A2}"/>
                </a:ext>
              </a:extLst>
            </xdr:cNvPr>
            <xdr:cNvGrpSpPr/>
          </xdr:nvGrpSpPr>
          <xdr:grpSpPr>
            <a:xfrm>
              <a:off x="8458200" y="0"/>
              <a:ext cx="2821628" cy="298679"/>
              <a:chOff x="0" y="0"/>
              <a:chExt cx="2821628" cy="298679"/>
            </a:xfrm>
          </xdr:grpSpPr>
          <xdr:pic>
            <xdr:nvPicPr>
              <xdr:cNvPr id="15" name="Obraz 14">
                <a:extLst>
                  <a:ext uri="{FF2B5EF4-FFF2-40B4-BE49-F238E27FC236}">
                    <a16:creationId xmlns:a16="http://schemas.microsoft.com/office/drawing/2014/main" id="{B5F950AD-DFC4-4E9E-8AFE-570B9DFEA65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0" y="0"/>
                <a:ext cx="707078" cy="298679"/>
              </a:xfrm>
              <a:prstGeom prst="rect">
                <a:avLst/>
              </a:prstGeom>
            </xdr:spPr>
          </xdr:pic>
          <xdr:pic>
            <xdr:nvPicPr>
              <xdr:cNvPr id="16" name="Obraz 15">
                <a:extLst>
                  <a:ext uri="{FF2B5EF4-FFF2-40B4-BE49-F238E27FC236}">
                    <a16:creationId xmlns:a16="http://schemas.microsoft.com/office/drawing/2014/main" id="{071579FE-FD52-4D06-B991-AEC9D1A6A0A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704850" y="0"/>
                <a:ext cx="707078" cy="298679"/>
              </a:xfrm>
              <a:prstGeom prst="rect">
                <a:avLst/>
              </a:prstGeom>
            </xdr:spPr>
          </xdr:pic>
          <xdr:pic>
            <xdr:nvPicPr>
              <xdr:cNvPr id="17" name="Obraz 16">
                <a:extLst>
                  <a:ext uri="{FF2B5EF4-FFF2-40B4-BE49-F238E27FC236}">
                    <a16:creationId xmlns:a16="http://schemas.microsoft.com/office/drawing/2014/main" id="{ECC85B36-56A0-4C06-B726-C741EE98EE41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409700" y="0"/>
                <a:ext cx="707078" cy="298679"/>
              </a:xfrm>
              <a:prstGeom prst="rect">
                <a:avLst/>
              </a:prstGeom>
            </xdr:spPr>
          </xdr:pic>
          <xdr:pic>
            <xdr:nvPicPr>
              <xdr:cNvPr id="18" name="Obraz 17">
                <a:extLst>
                  <a:ext uri="{FF2B5EF4-FFF2-40B4-BE49-F238E27FC236}">
                    <a16:creationId xmlns:a16="http://schemas.microsoft.com/office/drawing/2014/main" id="{0DF7C752-BFBB-4973-A16D-21626DEC206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2114550" y="0"/>
                <a:ext cx="707078" cy="298679"/>
              </a:xfrm>
              <a:prstGeom prst="rect">
                <a:avLst/>
              </a:prstGeom>
            </xdr:spPr>
          </xdr:pic>
        </xdr:grpSp>
        <xdr:pic>
          <xdr:nvPicPr>
            <xdr:cNvPr id="14" name="Obraz 13">
              <a:extLst>
                <a:ext uri="{FF2B5EF4-FFF2-40B4-BE49-F238E27FC236}">
                  <a16:creationId xmlns:a16="http://schemas.microsoft.com/office/drawing/2014/main" id="{A1E93C22-EDF1-4C80-BFAB-71DDE5EB3FE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1277600" y="0"/>
              <a:ext cx="707078" cy="298679"/>
            </a:xfrm>
            <a:prstGeom prst="rect">
              <a:avLst/>
            </a:prstGeom>
          </xdr:spPr>
        </xdr:pic>
      </xdr:grpSp>
      <xdr:pic>
        <xdr:nvPicPr>
          <xdr:cNvPr id="6" name="Obraz 5">
            <a:extLst>
              <a:ext uri="{FF2B5EF4-FFF2-40B4-BE49-F238E27FC236}">
                <a16:creationId xmlns:a16="http://schemas.microsoft.com/office/drawing/2014/main" id="{C01D881F-21ED-47E1-9A43-5DD59CEC96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007498" y="10885"/>
            <a:ext cx="826546" cy="353786"/>
          </a:xfrm>
          <a:prstGeom prst="rect">
            <a:avLst/>
          </a:prstGeom>
        </xdr:spPr>
      </xdr:pic>
      <xdr:pic>
        <xdr:nvPicPr>
          <xdr:cNvPr id="7" name="Obraz 6">
            <a:extLst>
              <a:ext uri="{FF2B5EF4-FFF2-40B4-BE49-F238E27FC236}">
                <a16:creationId xmlns:a16="http://schemas.microsoft.com/office/drawing/2014/main" id="{6AF5200D-AC14-45F8-B201-BB4D3B43B1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834813" y="0"/>
            <a:ext cx="826546" cy="353786"/>
          </a:xfrm>
          <a:prstGeom prst="rect">
            <a:avLst/>
          </a:prstGeom>
        </xdr:spPr>
      </xdr:pic>
      <xdr:pic>
        <xdr:nvPicPr>
          <xdr:cNvPr id="8" name="Obraz 7">
            <a:extLst>
              <a:ext uri="{FF2B5EF4-FFF2-40B4-BE49-F238E27FC236}">
                <a16:creationId xmlns:a16="http://schemas.microsoft.com/office/drawing/2014/main" id="{CB998093-5AEA-4C10-A274-4EEC0AB952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662127" y="0"/>
            <a:ext cx="826546" cy="353786"/>
          </a:xfrm>
          <a:prstGeom prst="rect">
            <a:avLst/>
          </a:prstGeom>
        </xdr:spPr>
      </xdr:pic>
      <xdr:pic>
        <xdr:nvPicPr>
          <xdr:cNvPr id="9" name="Obraz 8">
            <a:extLst>
              <a:ext uri="{FF2B5EF4-FFF2-40B4-BE49-F238E27FC236}">
                <a16:creationId xmlns:a16="http://schemas.microsoft.com/office/drawing/2014/main" id="{BD3A7054-F052-4959-B32C-0E6D534C19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467670" y="0"/>
            <a:ext cx="826546" cy="353786"/>
          </a:xfrm>
          <a:prstGeom prst="rect">
            <a:avLst/>
          </a:prstGeom>
        </xdr:spPr>
      </xdr:pic>
      <xdr:pic>
        <xdr:nvPicPr>
          <xdr:cNvPr id="10" name="Obraz 9">
            <a:extLst>
              <a:ext uri="{FF2B5EF4-FFF2-40B4-BE49-F238E27FC236}">
                <a16:creationId xmlns:a16="http://schemas.microsoft.com/office/drawing/2014/main" id="{1583301E-9E7D-4F2C-8388-C812E24852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294984" y="0"/>
            <a:ext cx="826546" cy="353786"/>
          </a:xfrm>
          <a:prstGeom prst="rect">
            <a:avLst/>
          </a:prstGeom>
        </xdr:spPr>
      </xdr:pic>
      <xdr:pic>
        <xdr:nvPicPr>
          <xdr:cNvPr id="11" name="Obraz 10">
            <a:extLst>
              <a:ext uri="{FF2B5EF4-FFF2-40B4-BE49-F238E27FC236}">
                <a16:creationId xmlns:a16="http://schemas.microsoft.com/office/drawing/2014/main" id="{5963E150-F00A-4E08-BFBD-FB4B017A1A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850155" y="0"/>
            <a:ext cx="826546" cy="353786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717176</xdr:colOff>
      <xdr:row>85</xdr:row>
      <xdr:rowOff>142875</xdr:rowOff>
    </xdr:from>
    <xdr:to>
      <xdr:col>10</xdr:col>
      <xdr:colOff>1119186</xdr:colOff>
      <xdr:row>121</xdr:row>
      <xdr:rowOff>10645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340ED69-5E90-44EA-A873-8B728B54F8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466726</xdr:colOff>
      <xdr:row>43</xdr:row>
      <xdr:rowOff>119063</xdr:rowOff>
    </xdr:from>
    <xdr:to>
      <xdr:col>10</xdr:col>
      <xdr:colOff>1190625</xdr:colOff>
      <xdr:row>79</xdr:row>
      <xdr:rowOff>178033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A379165A-B678-4EF3-9163-B74DD7B89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8469</xdr:colOff>
      <xdr:row>0</xdr:row>
      <xdr:rowOff>0</xdr:rowOff>
    </xdr:from>
    <xdr:to>
      <xdr:col>10</xdr:col>
      <xdr:colOff>1481355</xdr:colOff>
      <xdr:row>0</xdr:row>
      <xdr:rowOff>364671</xdr:rowOff>
    </xdr:to>
    <xdr:grpSp>
      <xdr:nvGrpSpPr>
        <xdr:cNvPr id="4" name="Grupa 3">
          <a:extLst>
            <a:ext uri="{FF2B5EF4-FFF2-40B4-BE49-F238E27FC236}">
              <a16:creationId xmlns:a16="http://schemas.microsoft.com/office/drawing/2014/main" id="{4E4879E5-5138-4DB1-A0C1-633C7A785132}"/>
            </a:ext>
          </a:extLst>
        </xdr:cNvPr>
        <xdr:cNvGrpSpPr/>
      </xdr:nvGrpSpPr>
      <xdr:grpSpPr>
        <a:xfrm>
          <a:off x="8469" y="0"/>
          <a:ext cx="18170211" cy="364671"/>
          <a:chOff x="8469" y="0"/>
          <a:chExt cx="18668232" cy="364671"/>
        </a:xfrm>
      </xdr:grpSpPr>
      <xdr:grpSp>
        <xdr:nvGrpSpPr>
          <xdr:cNvPr id="5" name="Grupa 4">
            <a:extLst>
              <a:ext uri="{FF2B5EF4-FFF2-40B4-BE49-F238E27FC236}">
                <a16:creationId xmlns:a16="http://schemas.microsoft.com/office/drawing/2014/main" id="{045516AF-2A55-41CC-80F1-2F4436F80EB3}"/>
              </a:ext>
            </a:extLst>
          </xdr:cNvPr>
          <xdr:cNvGrpSpPr/>
        </xdr:nvGrpSpPr>
        <xdr:grpSpPr>
          <a:xfrm>
            <a:off x="8469" y="0"/>
            <a:ext cx="14009610" cy="353786"/>
            <a:chOff x="0" y="0"/>
            <a:chExt cx="11984678" cy="298679"/>
          </a:xfrm>
        </xdr:grpSpPr>
        <xdr:grpSp>
          <xdr:nvGrpSpPr>
            <xdr:cNvPr id="12" name="Grupa 11">
              <a:extLst>
                <a:ext uri="{FF2B5EF4-FFF2-40B4-BE49-F238E27FC236}">
                  <a16:creationId xmlns:a16="http://schemas.microsoft.com/office/drawing/2014/main" id="{4F24AE26-ED2C-4409-AD76-23C06B23DD6E}"/>
                </a:ext>
              </a:extLst>
            </xdr:cNvPr>
            <xdr:cNvGrpSpPr/>
          </xdr:nvGrpSpPr>
          <xdr:grpSpPr>
            <a:xfrm>
              <a:off x="0" y="0"/>
              <a:ext cx="8460428" cy="298679"/>
              <a:chOff x="0" y="0"/>
              <a:chExt cx="8460428" cy="298679"/>
            </a:xfrm>
          </xdr:grpSpPr>
          <xdr:grpSp>
            <xdr:nvGrpSpPr>
              <xdr:cNvPr id="19" name="Grupa 18">
                <a:extLst>
                  <a:ext uri="{FF2B5EF4-FFF2-40B4-BE49-F238E27FC236}">
                    <a16:creationId xmlns:a16="http://schemas.microsoft.com/office/drawing/2014/main" id="{6AB6EFF4-3429-4F53-965E-E34C242E322D}"/>
                  </a:ext>
                </a:extLst>
              </xdr:cNvPr>
              <xdr:cNvGrpSpPr/>
            </xdr:nvGrpSpPr>
            <xdr:grpSpPr>
              <a:xfrm>
                <a:off x="0" y="0"/>
                <a:ext cx="2821628" cy="298679"/>
                <a:chOff x="0" y="0"/>
                <a:chExt cx="2821628" cy="298679"/>
              </a:xfrm>
            </xdr:grpSpPr>
            <xdr:pic>
              <xdr:nvPicPr>
                <xdr:cNvPr id="30" name="Obraz 29">
                  <a:extLst>
                    <a:ext uri="{FF2B5EF4-FFF2-40B4-BE49-F238E27FC236}">
                      <a16:creationId xmlns:a16="http://schemas.microsoft.com/office/drawing/2014/main" id="{E5E3C3A6-4515-4B15-816B-E61E15148305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31" name="Obraz 30">
                  <a:extLst>
                    <a:ext uri="{FF2B5EF4-FFF2-40B4-BE49-F238E27FC236}">
                      <a16:creationId xmlns:a16="http://schemas.microsoft.com/office/drawing/2014/main" id="{CF2E5CD2-E936-4BDE-98A3-3F16CD59A3AE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0485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32" name="Obraz 31">
                  <a:extLst>
                    <a:ext uri="{FF2B5EF4-FFF2-40B4-BE49-F238E27FC236}">
                      <a16:creationId xmlns:a16="http://schemas.microsoft.com/office/drawing/2014/main" id="{09BA573A-DC96-47BD-9A60-D9A3D818C9BB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40970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33" name="Obraz 32">
                  <a:extLst>
                    <a:ext uri="{FF2B5EF4-FFF2-40B4-BE49-F238E27FC236}">
                      <a16:creationId xmlns:a16="http://schemas.microsoft.com/office/drawing/2014/main" id="{EEAD2F70-8410-47E2-B36E-A49031DB1BF1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2114550" y="0"/>
                  <a:ext cx="707078" cy="298679"/>
                </a:xfrm>
                <a:prstGeom prst="rect">
                  <a:avLst/>
                </a:prstGeom>
              </xdr:spPr>
            </xdr:pic>
          </xdr:grpSp>
          <xdr:grpSp>
            <xdr:nvGrpSpPr>
              <xdr:cNvPr id="20" name="Grupa 19">
                <a:extLst>
                  <a:ext uri="{FF2B5EF4-FFF2-40B4-BE49-F238E27FC236}">
                    <a16:creationId xmlns:a16="http://schemas.microsoft.com/office/drawing/2014/main" id="{6F8F8C4C-ECEB-4596-B1A0-E5B7612309A8}"/>
                  </a:ext>
                </a:extLst>
              </xdr:cNvPr>
              <xdr:cNvGrpSpPr/>
            </xdr:nvGrpSpPr>
            <xdr:grpSpPr>
              <a:xfrm>
                <a:off x="2819400" y="0"/>
                <a:ext cx="2821628" cy="298679"/>
                <a:chOff x="0" y="0"/>
                <a:chExt cx="2821628" cy="298679"/>
              </a:xfrm>
            </xdr:grpSpPr>
            <xdr:pic>
              <xdr:nvPicPr>
                <xdr:cNvPr id="26" name="Obraz 25">
                  <a:extLst>
                    <a:ext uri="{FF2B5EF4-FFF2-40B4-BE49-F238E27FC236}">
                      <a16:creationId xmlns:a16="http://schemas.microsoft.com/office/drawing/2014/main" id="{1FBF84F1-98AB-4DD0-82CD-DB691BEB82BE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27" name="Obraz 26">
                  <a:extLst>
                    <a:ext uri="{FF2B5EF4-FFF2-40B4-BE49-F238E27FC236}">
                      <a16:creationId xmlns:a16="http://schemas.microsoft.com/office/drawing/2014/main" id="{4FCAE5C1-6876-45F0-8DA3-326BF2BAD652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0485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28" name="Obraz 27">
                  <a:extLst>
                    <a:ext uri="{FF2B5EF4-FFF2-40B4-BE49-F238E27FC236}">
                      <a16:creationId xmlns:a16="http://schemas.microsoft.com/office/drawing/2014/main" id="{C9200E3C-7F90-4789-A86A-DAAB4BAED211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40970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29" name="Obraz 28">
                  <a:extLst>
                    <a:ext uri="{FF2B5EF4-FFF2-40B4-BE49-F238E27FC236}">
                      <a16:creationId xmlns:a16="http://schemas.microsoft.com/office/drawing/2014/main" id="{E0FE59AD-EDBC-4326-A427-D5312A90497F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2114550" y="0"/>
                  <a:ext cx="707078" cy="298679"/>
                </a:xfrm>
                <a:prstGeom prst="rect">
                  <a:avLst/>
                </a:prstGeom>
              </xdr:spPr>
            </xdr:pic>
          </xdr:grpSp>
          <xdr:grpSp>
            <xdr:nvGrpSpPr>
              <xdr:cNvPr id="21" name="Grupa 20">
                <a:extLst>
                  <a:ext uri="{FF2B5EF4-FFF2-40B4-BE49-F238E27FC236}">
                    <a16:creationId xmlns:a16="http://schemas.microsoft.com/office/drawing/2014/main" id="{D7D79370-945E-4CC6-905C-87B97B027406}"/>
                  </a:ext>
                </a:extLst>
              </xdr:cNvPr>
              <xdr:cNvGrpSpPr/>
            </xdr:nvGrpSpPr>
            <xdr:grpSpPr>
              <a:xfrm>
                <a:off x="5638800" y="0"/>
                <a:ext cx="2821628" cy="298679"/>
                <a:chOff x="0" y="0"/>
                <a:chExt cx="2821628" cy="298679"/>
              </a:xfrm>
            </xdr:grpSpPr>
            <xdr:pic>
              <xdr:nvPicPr>
                <xdr:cNvPr id="22" name="Obraz 21">
                  <a:extLst>
                    <a:ext uri="{FF2B5EF4-FFF2-40B4-BE49-F238E27FC236}">
                      <a16:creationId xmlns:a16="http://schemas.microsoft.com/office/drawing/2014/main" id="{D7BB569D-16C5-4731-81B6-027B95FD644E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23" name="Obraz 22">
                  <a:extLst>
                    <a:ext uri="{FF2B5EF4-FFF2-40B4-BE49-F238E27FC236}">
                      <a16:creationId xmlns:a16="http://schemas.microsoft.com/office/drawing/2014/main" id="{7F67BED9-1A61-4085-805C-987CCBE2E88D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0485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24" name="Obraz 23">
                  <a:extLst>
                    <a:ext uri="{FF2B5EF4-FFF2-40B4-BE49-F238E27FC236}">
                      <a16:creationId xmlns:a16="http://schemas.microsoft.com/office/drawing/2014/main" id="{4D375D3F-5648-44EF-B2F7-3D58647E96B9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409700" y="0"/>
                  <a:ext cx="707078" cy="298679"/>
                </a:xfrm>
                <a:prstGeom prst="rect">
                  <a:avLst/>
                </a:prstGeom>
              </xdr:spPr>
            </xdr:pic>
            <xdr:pic>
              <xdr:nvPicPr>
                <xdr:cNvPr id="25" name="Obraz 24">
                  <a:extLst>
                    <a:ext uri="{FF2B5EF4-FFF2-40B4-BE49-F238E27FC236}">
                      <a16:creationId xmlns:a16="http://schemas.microsoft.com/office/drawing/2014/main" id="{AFD92567-6485-453D-BA0A-1DBD85F6E51B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2114550" y="0"/>
                  <a:ext cx="707078" cy="298679"/>
                </a:xfrm>
                <a:prstGeom prst="rect">
                  <a:avLst/>
                </a:prstGeom>
              </xdr:spPr>
            </xdr:pic>
          </xdr:grpSp>
        </xdr:grpSp>
        <xdr:grpSp>
          <xdr:nvGrpSpPr>
            <xdr:cNvPr id="13" name="Grupa 12">
              <a:extLst>
                <a:ext uri="{FF2B5EF4-FFF2-40B4-BE49-F238E27FC236}">
                  <a16:creationId xmlns:a16="http://schemas.microsoft.com/office/drawing/2014/main" id="{85527114-5AB5-46B1-853E-7483BB169A14}"/>
                </a:ext>
              </a:extLst>
            </xdr:cNvPr>
            <xdr:cNvGrpSpPr/>
          </xdr:nvGrpSpPr>
          <xdr:grpSpPr>
            <a:xfrm>
              <a:off x="8458200" y="0"/>
              <a:ext cx="2821628" cy="298679"/>
              <a:chOff x="0" y="0"/>
              <a:chExt cx="2821628" cy="298679"/>
            </a:xfrm>
          </xdr:grpSpPr>
          <xdr:pic>
            <xdr:nvPicPr>
              <xdr:cNvPr id="15" name="Obraz 14">
                <a:extLst>
                  <a:ext uri="{FF2B5EF4-FFF2-40B4-BE49-F238E27FC236}">
                    <a16:creationId xmlns:a16="http://schemas.microsoft.com/office/drawing/2014/main" id="{DB0B6BA0-B561-4CBD-98A9-73B9EC6475E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0" y="0"/>
                <a:ext cx="707078" cy="298679"/>
              </a:xfrm>
              <a:prstGeom prst="rect">
                <a:avLst/>
              </a:prstGeom>
            </xdr:spPr>
          </xdr:pic>
          <xdr:pic>
            <xdr:nvPicPr>
              <xdr:cNvPr id="16" name="Obraz 15">
                <a:extLst>
                  <a:ext uri="{FF2B5EF4-FFF2-40B4-BE49-F238E27FC236}">
                    <a16:creationId xmlns:a16="http://schemas.microsoft.com/office/drawing/2014/main" id="{1DEC669A-4135-48B0-9A58-EA69BBACFC1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704850" y="0"/>
                <a:ext cx="707078" cy="298679"/>
              </a:xfrm>
              <a:prstGeom prst="rect">
                <a:avLst/>
              </a:prstGeom>
            </xdr:spPr>
          </xdr:pic>
          <xdr:pic>
            <xdr:nvPicPr>
              <xdr:cNvPr id="17" name="Obraz 16">
                <a:extLst>
                  <a:ext uri="{FF2B5EF4-FFF2-40B4-BE49-F238E27FC236}">
                    <a16:creationId xmlns:a16="http://schemas.microsoft.com/office/drawing/2014/main" id="{0D523C87-FF7E-4E30-A9CA-3882215798E2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409700" y="0"/>
                <a:ext cx="707078" cy="298679"/>
              </a:xfrm>
              <a:prstGeom prst="rect">
                <a:avLst/>
              </a:prstGeom>
            </xdr:spPr>
          </xdr:pic>
          <xdr:pic>
            <xdr:nvPicPr>
              <xdr:cNvPr id="18" name="Obraz 17">
                <a:extLst>
                  <a:ext uri="{FF2B5EF4-FFF2-40B4-BE49-F238E27FC236}">
                    <a16:creationId xmlns:a16="http://schemas.microsoft.com/office/drawing/2014/main" id="{FB18F394-FF39-47A5-A327-DAEB9F4699C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2114550" y="0"/>
                <a:ext cx="707078" cy="298679"/>
              </a:xfrm>
              <a:prstGeom prst="rect">
                <a:avLst/>
              </a:prstGeom>
            </xdr:spPr>
          </xdr:pic>
        </xdr:grpSp>
        <xdr:pic>
          <xdr:nvPicPr>
            <xdr:cNvPr id="14" name="Obraz 13">
              <a:extLst>
                <a:ext uri="{FF2B5EF4-FFF2-40B4-BE49-F238E27FC236}">
                  <a16:creationId xmlns:a16="http://schemas.microsoft.com/office/drawing/2014/main" id="{95C42869-CCBB-40FE-ACBE-8D4C93E6686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1277600" y="0"/>
              <a:ext cx="707078" cy="298679"/>
            </a:xfrm>
            <a:prstGeom prst="rect">
              <a:avLst/>
            </a:prstGeom>
          </xdr:spPr>
        </xdr:pic>
      </xdr:grpSp>
      <xdr:pic>
        <xdr:nvPicPr>
          <xdr:cNvPr id="6" name="Obraz 5">
            <a:extLst>
              <a:ext uri="{FF2B5EF4-FFF2-40B4-BE49-F238E27FC236}">
                <a16:creationId xmlns:a16="http://schemas.microsoft.com/office/drawing/2014/main" id="{64DA72EA-D90E-419F-8698-1BABC973C8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007498" y="10885"/>
            <a:ext cx="826546" cy="353786"/>
          </a:xfrm>
          <a:prstGeom prst="rect">
            <a:avLst/>
          </a:prstGeom>
        </xdr:spPr>
      </xdr:pic>
      <xdr:pic>
        <xdr:nvPicPr>
          <xdr:cNvPr id="7" name="Obraz 6">
            <a:extLst>
              <a:ext uri="{FF2B5EF4-FFF2-40B4-BE49-F238E27FC236}">
                <a16:creationId xmlns:a16="http://schemas.microsoft.com/office/drawing/2014/main" id="{5230FADD-76E5-44E1-9F44-5B247DEFFF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834813" y="0"/>
            <a:ext cx="826546" cy="353786"/>
          </a:xfrm>
          <a:prstGeom prst="rect">
            <a:avLst/>
          </a:prstGeom>
        </xdr:spPr>
      </xdr:pic>
      <xdr:pic>
        <xdr:nvPicPr>
          <xdr:cNvPr id="8" name="Obraz 7">
            <a:extLst>
              <a:ext uri="{FF2B5EF4-FFF2-40B4-BE49-F238E27FC236}">
                <a16:creationId xmlns:a16="http://schemas.microsoft.com/office/drawing/2014/main" id="{823FC999-E578-4BB4-A48E-E4DDED325F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662127" y="0"/>
            <a:ext cx="826546" cy="353786"/>
          </a:xfrm>
          <a:prstGeom prst="rect">
            <a:avLst/>
          </a:prstGeom>
        </xdr:spPr>
      </xdr:pic>
      <xdr:pic>
        <xdr:nvPicPr>
          <xdr:cNvPr id="9" name="Obraz 8">
            <a:extLst>
              <a:ext uri="{FF2B5EF4-FFF2-40B4-BE49-F238E27FC236}">
                <a16:creationId xmlns:a16="http://schemas.microsoft.com/office/drawing/2014/main" id="{57FD071A-8C10-4F8B-825E-197A34D0BD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467670" y="0"/>
            <a:ext cx="826546" cy="353786"/>
          </a:xfrm>
          <a:prstGeom prst="rect">
            <a:avLst/>
          </a:prstGeom>
        </xdr:spPr>
      </xdr:pic>
      <xdr:pic>
        <xdr:nvPicPr>
          <xdr:cNvPr id="10" name="Obraz 9">
            <a:extLst>
              <a:ext uri="{FF2B5EF4-FFF2-40B4-BE49-F238E27FC236}">
                <a16:creationId xmlns:a16="http://schemas.microsoft.com/office/drawing/2014/main" id="{8D809E14-4D65-4DC9-B230-7DDAE35420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294984" y="0"/>
            <a:ext cx="826546" cy="353786"/>
          </a:xfrm>
          <a:prstGeom prst="rect">
            <a:avLst/>
          </a:prstGeom>
        </xdr:spPr>
      </xdr:pic>
      <xdr:pic>
        <xdr:nvPicPr>
          <xdr:cNvPr id="11" name="Obraz 10">
            <a:extLst>
              <a:ext uri="{FF2B5EF4-FFF2-40B4-BE49-F238E27FC236}">
                <a16:creationId xmlns:a16="http://schemas.microsoft.com/office/drawing/2014/main" id="{CE5B1A48-D6ED-4D0A-A1D2-23041B530F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850155" y="0"/>
            <a:ext cx="826546" cy="353786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GWL_2.0">
      <a:dk1>
        <a:srgbClr val="000000"/>
      </a:dk1>
      <a:lt1>
        <a:srgbClr val="FFFFFF"/>
      </a:lt1>
      <a:dk2>
        <a:srgbClr val="006451"/>
      </a:dk2>
      <a:lt2>
        <a:srgbClr val="009074"/>
      </a:lt2>
      <a:accent1>
        <a:srgbClr val="009074"/>
      </a:accent1>
      <a:accent2>
        <a:srgbClr val="F2F2F2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6">
    <tabColor theme="3" tint="0.499984740745262"/>
  </sheetPr>
  <dimension ref="A1:A11"/>
  <sheetViews>
    <sheetView showGridLines="0" zoomScale="90" zoomScaleNormal="90" workbookViewId="0"/>
  </sheetViews>
  <sheetFormatPr defaultColWidth="43" defaultRowHeight="15"/>
  <cols>
    <col min="1" max="1" width="139.140625" style="1" customWidth="1"/>
    <col min="2" max="4" width="9.140625" style="1" customWidth="1"/>
    <col min="5" max="5" width="23.140625" style="1" customWidth="1"/>
    <col min="6" max="6" width="31.28515625" style="1" customWidth="1"/>
    <col min="7" max="233" width="9.140625" style="1" customWidth="1"/>
    <col min="234" max="16384" width="43" style="1"/>
  </cols>
  <sheetData>
    <row r="1" spans="1:1" ht="18.75">
      <c r="A1" s="38" t="s">
        <v>0</v>
      </c>
    </row>
    <row r="2" spans="1:1" ht="203.25" customHeight="1">
      <c r="A2" s="39" t="s">
        <v>1</v>
      </c>
    </row>
    <row r="11" spans="1:1">
      <c r="A11" s="2"/>
    </row>
  </sheetData>
  <dataConsolidate/>
  <pageMargins left="0.31496062992125984" right="0.31496062992125984" top="0.74803149606299213" bottom="0.74803149606299213" header="0.31496062992125984" footer="0.31496062992125984"/>
  <pageSetup paperSize="9" scale="45" orientation="portrait" r:id="rId1"/>
  <headerFooter>
    <oddHeader>&amp;LGDAŃSK W LICZBACH / BEZPIECZEŃSTWO
&amp;F&amp;R&amp;D</oddHeader>
    <oddFooter>&amp;L&amp;"-,Kursywa"&amp;8Opracowanie: Referat Badań i Analiz Społeczno-Gospodarczych, WPG, UMG&amp;R&amp;"-,Kursywa"&amp;8www.gdansk.pl/gdanskwliczbach</oddFooter>
  </headerFooter>
  <rowBreaks count="1" manualBreakCount="1">
    <brk id="1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9"/>
  <sheetViews>
    <sheetView showGridLines="0" topLeftCell="A4" zoomScale="90" zoomScaleNormal="90" zoomScaleSheetLayoutView="20" workbookViewId="0">
      <selection activeCell="E41" sqref="E41"/>
    </sheetView>
  </sheetViews>
  <sheetFormatPr defaultColWidth="43" defaultRowHeight="15"/>
  <cols>
    <col min="1" max="1" width="3.5703125" style="5" customWidth="1"/>
    <col min="2" max="2" width="56.85546875" style="5" customWidth="1"/>
    <col min="3" max="3" width="32.28515625" style="5" customWidth="1"/>
    <col min="4" max="4" width="18.85546875" style="5" customWidth="1"/>
    <col min="5" max="5" width="25.42578125" style="5" customWidth="1"/>
    <col min="6" max="6" width="20.28515625" style="5" customWidth="1"/>
    <col min="7" max="7" width="18.85546875" style="5" customWidth="1"/>
    <col min="8" max="8" width="28.140625" style="5" customWidth="1"/>
    <col min="9" max="9" width="26.85546875" style="5" customWidth="1"/>
    <col min="10" max="10" width="19.28515625" style="5" customWidth="1"/>
    <col min="11" max="11" width="22.28515625" style="5" customWidth="1"/>
    <col min="12" max="12" width="18" style="5" customWidth="1"/>
    <col min="13" max="13" width="17.28515625" style="5" customWidth="1"/>
    <col min="14" max="14" width="16.85546875" style="5" customWidth="1"/>
    <col min="15" max="15" width="20" style="5" customWidth="1"/>
    <col min="16" max="16" width="14.7109375" style="5" customWidth="1"/>
    <col min="17" max="17" width="16.7109375" style="5" customWidth="1"/>
    <col min="18" max="18" width="15.85546875" style="5" customWidth="1"/>
    <col min="19" max="19" width="17.140625" style="5" customWidth="1"/>
    <col min="20" max="20" width="19.5703125" style="5" customWidth="1"/>
    <col min="21" max="21" width="17.28515625" style="5" customWidth="1"/>
    <col min="22" max="22" width="17.5703125" style="5" customWidth="1"/>
    <col min="23" max="23" width="14.5703125" style="5" customWidth="1"/>
    <col min="24" max="24" width="13.7109375" style="5" customWidth="1"/>
    <col min="25" max="25" width="14.140625" style="5" customWidth="1"/>
    <col min="26" max="26" width="15.28515625" style="5" customWidth="1"/>
    <col min="27" max="242" width="9.140625" style="5" customWidth="1"/>
    <col min="243" max="16384" width="43" style="5"/>
  </cols>
  <sheetData>
    <row r="1" spans="1:11" customFormat="1" ht="3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8.75">
      <c r="A2" s="4" t="s">
        <v>2</v>
      </c>
    </row>
    <row r="3" spans="1:11" ht="15.75">
      <c r="A3" s="54" t="s">
        <v>3</v>
      </c>
      <c r="B3" s="55"/>
      <c r="C3" s="56"/>
      <c r="D3" s="56"/>
      <c r="E3" s="56"/>
    </row>
    <row r="4" spans="1:11" ht="33.6" customHeight="1">
      <c r="A4" s="44" t="s">
        <v>4</v>
      </c>
      <c r="B4" s="44" t="s">
        <v>5</v>
      </c>
      <c r="C4" s="44" t="s">
        <v>6</v>
      </c>
      <c r="D4" s="44" t="s">
        <v>7</v>
      </c>
      <c r="E4" s="44" t="s">
        <v>8</v>
      </c>
    </row>
    <row r="5" spans="1:11">
      <c r="A5" s="7" t="s">
        <v>9</v>
      </c>
      <c r="B5" s="6" t="s">
        <v>10</v>
      </c>
      <c r="C5" s="8">
        <v>194</v>
      </c>
      <c r="D5" s="8">
        <v>4418</v>
      </c>
      <c r="E5" s="42">
        <f t="shared" ref="E5:E39" si="0">C5/D5*1000</f>
        <v>43.911272068809417</v>
      </c>
      <c r="G5" s="9"/>
    </row>
    <row r="6" spans="1:11">
      <c r="A6" s="7" t="s">
        <v>11</v>
      </c>
      <c r="B6" s="6" t="s">
        <v>12</v>
      </c>
      <c r="C6" s="8">
        <v>127</v>
      </c>
      <c r="D6" s="8">
        <v>7551</v>
      </c>
      <c r="E6" s="42">
        <f t="shared" si="0"/>
        <v>16.818964375579391</v>
      </c>
    </row>
    <row r="7" spans="1:11" ht="15" customHeight="1">
      <c r="A7" s="7" t="s">
        <v>13</v>
      </c>
      <c r="B7" s="6" t="s">
        <v>14</v>
      </c>
      <c r="C7" s="8">
        <v>256</v>
      </c>
      <c r="D7" s="8">
        <v>11539</v>
      </c>
      <c r="E7" s="42">
        <f t="shared" si="0"/>
        <v>22.185631337204267</v>
      </c>
      <c r="G7" s="11"/>
    </row>
    <row r="8" spans="1:11">
      <c r="A8" s="7" t="s">
        <v>15</v>
      </c>
      <c r="B8" s="6" t="s">
        <v>16</v>
      </c>
      <c r="C8" s="8">
        <v>578</v>
      </c>
      <c r="D8" s="8">
        <v>31764</v>
      </c>
      <c r="E8" s="42">
        <f t="shared" si="0"/>
        <v>18.196700667422238</v>
      </c>
      <c r="G8" s="11"/>
    </row>
    <row r="9" spans="1:11">
      <c r="A9" s="7" t="s">
        <v>17</v>
      </c>
      <c r="B9" s="6" t="s">
        <v>18</v>
      </c>
      <c r="C9" s="8">
        <v>544</v>
      </c>
      <c r="D9" s="8">
        <v>20972</v>
      </c>
      <c r="E9" s="42">
        <f t="shared" si="0"/>
        <v>25.9393477016975</v>
      </c>
      <c r="G9" s="11"/>
    </row>
    <row r="10" spans="1:11">
      <c r="A10" s="7" t="s">
        <v>19</v>
      </c>
      <c r="B10" s="6" t="s">
        <v>20</v>
      </c>
      <c r="C10" s="8">
        <v>226</v>
      </c>
      <c r="D10" s="8">
        <v>9888</v>
      </c>
      <c r="E10" s="42">
        <f t="shared" si="0"/>
        <v>22.855987055016179</v>
      </c>
      <c r="G10" s="11"/>
    </row>
    <row r="11" spans="1:11">
      <c r="A11" s="7" t="s">
        <v>21</v>
      </c>
      <c r="B11" s="6" t="s">
        <v>22</v>
      </c>
      <c r="C11" s="8">
        <v>75</v>
      </c>
      <c r="D11" s="8">
        <v>1775</v>
      </c>
      <c r="E11" s="42">
        <f t="shared" si="0"/>
        <v>42.25352112676056</v>
      </c>
      <c r="G11" s="11"/>
    </row>
    <row r="12" spans="1:11">
      <c r="A12" s="7" t="s">
        <v>23</v>
      </c>
      <c r="B12" s="6" t="s">
        <v>24</v>
      </c>
      <c r="C12" s="8">
        <v>156</v>
      </c>
      <c r="D12" s="8">
        <v>1582</v>
      </c>
      <c r="E12" s="42">
        <f t="shared" si="0"/>
        <v>98.609355246523393</v>
      </c>
      <c r="G12" s="11"/>
    </row>
    <row r="13" spans="1:11">
      <c r="A13" s="7" t="s">
        <v>25</v>
      </c>
      <c r="B13" s="6" t="s">
        <v>26</v>
      </c>
      <c r="C13" s="8">
        <v>215</v>
      </c>
      <c r="D13" s="8">
        <v>5996</v>
      </c>
      <c r="E13" s="42">
        <f t="shared" si="0"/>
        <v>35.857238158772518</v>
      </c>
      <c r="G13" s="11"/>
    </row>
    <row r="14" spans="1:11">
      <c r="A14" s="7" t="s">
        <v>27</v>
      </c>
      <c r="B14" s="6" t="s">
        <v>28</v>
      </c>
      <c r="C14" s="8">
        <v>107</v>
      </c>
      <c r="D14" s="8">
        <v>2521</v>
      </c>
      <c r="E14" s="42">
        <f t="shared" si="0"/>
        <v>42.443474811582703</v>
      </c>
      <c r="G14" s="11"/>
    </row>
    <row r="15" spans="1:11">
      <c r="A15" s="7" t="s">
        <v>29</v>
      </c>
      <c r="B15" s="6" t="s">
        <v>30</v>
      </c>
      <c r="C15" s="8">
        <v>201</v>
      </c>
      <c r="D15" s="8">
        <v>9124</v>
      </c>
      <c r="E15" s="42">
        <f t="shared" si="0"/>
        <v>22.029811486190269</v>
      </c>
      <c r="G15" s="11"/>
    </row>
    <row r="16" spans="1:11">
      <c r="A16" s="7" t="s">
        <v>31</v>
      </c>
      <c r="B16" s="6" t="s">
        <v>32</v>
      </c>
      <c r="C16" s="8">
        <v>431</v>
      </c>
      <c r="D16" s="8">
        <v>14970</v>
      </c>
      <c r="E16" s="42">
        <f t="shared" si="0"/>
        <v>28.790915163660653</v>
      </c>
      <c r="G16" s="11"/>
    </row>
    <row r="17" spans="1:7">
      <c r="A17" s="7" t="s">
        <v>33</v>
      </c>
      <c r="B17" s="6" t="s">
        <v>34</v>
      </c>
      <c r="C17" s="8">
        <v>155</v>
      </c>
      <c r="D17" s="8">
        <v>2955</v>
      </c>
      <c r="E17" s="42">
        <f t="shared" si="0"/>
        <v>52.453468697123519</v>
      </c>
      <c r="G17" s="11"/>
    </row>
    <row r="18" spans="1:7">
      <c r="A18" s="7" t="s">
        <v>35</v>
      </c>
      <c r="B18" s="6" t="s">
        <v>36</v>
      </c>
      <c r="C18" s="8">
        <v>456</v>
      </c>
      <c r="D18" s="8">
        <v>20786</v>
      </c>
      <c r="E18" s="42">
        <f t="shared" si="0"/>
        <v>21.937842778793417</v>
      </c>
      <c r="G18" s="11"/>
    </row>
    <row r="19" spans="1:7">
      <c r="A19" s="7" t="s">
        <v>37</v>
      </c>
      <c r="B19" s="6" t="s">
        <v>38</v>
      </c>
      <c r="C19" s="8">
        <v>613</v>
      </c>
      <c r="D19" s="8">
        <v>13468</v>
      </c>
      <c r="E19" s="42">
        <f t="shared" si="0"/>
        <v>45.515295515295513</v>
      </c>
      <c r="G19" s="11"/>
    </row>
    <row r="20" spans="1:7">
      <c r="A20" s="7" t="s">
        <v>39</v>
      </c>
      <c r="B20" s="6" t="s">
        <v>40</v>
      </c>
      <c r="C20" s="8">
        <v>436</v>
      </c>
      <c r="D20" s="8">
        <v>16121</v>
      </c>
      <c r="E20" s="42">
        <f t="shared" si="0"/>
        <v>27.045468643384403</v>
      </c>
      <c r="G20" s="11"/>
    </row>
    <row r="21" spans="1:7">
      <c r="A21" s="7" t="s">
        <v>41</v>
      </c>
      <c r="B21" s="6" t="s">
        <v>42</v>
      </c>
      <c r="C21" s="8">
        <v>683</v>
      </c>
      <c r="D21" s="8">
        <v>27527</v>
      </c>
      <c r="E21" s="42">
        <f t="shared" si="0"/>
        <v>24.812002760925637</v>
      </c>
      <c r="G21" s="11"/>
    </row>
    <row r="22" spans="1:7">
      <c r="A22" s="7" t="s">
        <v>43</v>
      </c>
      <c r="B22" s="6" t="s">
        <v>44</v>
      </c>
      <c r="C22" s="8">
        <v>211</v>
      </c>
      <c r="D22" s="8">
        <v>3849</v>
      </c>
      <c r="E22" s="42">
        <f t="shared" si="0"/>
        <v>54.819433619121853</v>
      </c>
      <c r="G22" s="11"/>
    </row>
    <row r="23" spans="1:7">
      <c r="A23" s="7" t="s">
        <v>45</v>
      </c>
      <c r="B23" s="6" t="s">
        <v>46</v>
      </c>
      <c r="C23" s="8">
        <v>445</v>
      </c>
      <c r="D23" s="8">
        <v>15123</v>
      </c>
      <c r="E23" s="42">
        <f t="shared" si="0"/>
        <v>29.42537856245454</v>
      </c>
      <c r="G23" s="11"/>
    </row>
    <row r="24" spans="1:7">
      <c r="A24" s="7" t="s">
        <v>47</v>
      </c>
      <c r="B24" s="6" t="s">
        <v>48</v>
      </c>
      <c r="C24" s="8">
        <v>658</v>
      </c>
      <c r="D24" s="8">
        <v>26401</v>
      </c>
      <c r="E24" s="42">
        <f t="shared" si="0"/>
        <v>24.923298359910607</v>
      </c>
      <c r="G24" s="11"/>
    </row>
    <row r="25" spans="1:7">
      <c r="A25" s="7" t="s">
        <v>49</v>
      </c>
      <c r="B25" s="6" t="s">
        <v>50</v>
      </c>
      <c r="C25" s="8">
        <v>133</v>
      </c>
      <c r="D25" s="8">
        <v>1048</v>
      </c>
      <c r="E25" s="42">
        <f t="shared" si="0"/>
        <v>126.90839694656489</v>
      </c>
      <c r="G25" s="11"/>
    </row>
    <row r="26" spans="1:7">
      <c r="A26" s="7" t="s">
        <v>51</v>
      </c>
      <c r="B26" s="6" t="s">
        <v>52</v>
      </c>
      <c r="C26" s="8">
        <v>341</v>
      </c>
      <c r="D26" s="8">
        <v>12499</v>
      </c>
      <c r="E26" s="42">
        <f t="shared" si="0"/>
        <v>27.282182574605969</v>
      </c>
      <c r="G26" s="11"/>
    </row>
    <row r="27" spans="1:7">
      <c r="A27" s="7" t="s">
        <v>53</v>
      </c>
      <c r="B27" s="6" t="s">
        <v>54</v>
      </c>
      <c r="C27" s="8">
        <v>229</v>
      </c>
      <c r="D27" s="8">
        <v>10134</v>
      </c>
      <c r="E27" s="42">
        <f t="shared" si="0"/>
        <v>22.597197552792579</v>
      </c>
      <c r="G27" s="11"/>
    </row>
    <row r="28" spans="1:7">
      <c r="A28" s="7" t="s">
        <v>55</v>
      </c>
      <c r="B28" s="6" t="s">
        <v>56</v>
      </c>
      <c r="C28" s="8">
        <v>122</v>
      </c>
      <c r="D28" s="8">
        <v>5299</v>
      </c>
      <c r="E28" s="42">
        <f t="shared" si="0"/>
        <v>23.023211926778639</v>
      </c>
    </row>
    <row r="29" spans="1:7">
      <c r="A29" s="7" t="s">
        <v>57</v>
      </c>
      <c r="B29" s="6" t="s">
        <v>58</v>
      </c>
      <c r="C29" s="8">
        <v>205</v>
      </c>
      <c r="D29" s="8">
        <v>10146</v>
      </c>
      <c r="E29" s="42">
        <f t="shared" si="0"/>
        <v>20.20500689927065</v>
      </c>
    </row>
    <row r="30" spans="1:7">
      <c r="A30" s="7" t="s">
        <v>59</v>
      </c>
      <c r="B30" s="6" t="s">
        <v>60</v>
      </c>
      <c r="C30" s="8">
        <v>2109</v>
      </c>
      <c r="D30" s="8">
        <v>24536</v>
      </c>
      <c r="E30" s="42">
        <f t="shared" si="0"/>
        <v>85.955330942288882</v>
      </c>
    </row>
    <row r="31" spans="1:7">
      <c r="A31" s="7" t="s">
        <v>61</v>
      </c>
      <c r="B31" s="6" t="s">
        <v>62</v>
      </c>
      <c r="C31" s="8">
        <v>567</v>
      </c>
      <c r="D31" s="8">
        <v>28254</v>
      </c>
      <c r="E31" s="42">
        <f t="shared" si="0"/>
        <v>20.067954979825867</v>
      </c>
    </row>
    <row r="32" spans="1:7">
      <c r="A32" s="7" t="s">
        <v>63</v>
      </c>
      <c r="B32" s="6" t="s">
        <v>64</v>
      </c>
      <c r="C32" s="8">
        <v>78</v>
      </c>
      <c r="D32" s="8">
        <v>3411</v>
      </c>
      <c r="E32" s="42">
        <f t="shared" si="0"/>
        <v>22.867194371152156</v>
      </c>
    </row>
    <row r="33" spans="1:12">
      <c r="A33" s="7" t="s">
        <v>65</v>
      </c>
      <c r="B33" s="6" t="s">
        <v>66</v>
      </c>
      <c r="C33" s="8">
        <v>713</v>
      </c>
      <c r="D33" s="8">
        <v>22350</v>
      </c>
      <c r="E33" s="42">
        <f t="shared" si="0"/>
        <v>31.901565995525726</v>
      </c>
    </row>
    <row r="34" spans="1:12">
      <c r="A34" s="7" t="s">
        <v>67</v>
      </c>
      <c r="B34" s="6" t="s">
        <v>68</v>
      </c>
      <c r="C34" s="8">
        <v>864</v>
      </c>
      <c r="D34" s="8">
        <v>21568</v>
      </c>
      <c r="E34" s="42">
        <f t="shared" si="0"/>
        <v>40.059347181008903</v>
      </c>
    </row>
    <row r="35" spans="1:12">
      <c r="A35" s="7" t="s">
        <v>69</v>
      </c>
      <c r="B35" s="6" t="s">
        <v>70</v>
      </c>
      <c r="C35" s="8">
        <v>93</v>
      </c>
      <c r="D35" s="8">
        <v>3309</v>
      </c>
      <c r="E35" s="42">
        <f t="shared" si="0"/>
        <v>28.105167724388032</v>
      </c>
    </row>
    <row r="36" spans="1:12">
      <c r="A36" s="7" t="s">
        <v>71</v>
      </c>
      <c r="B36" s="6" t="s">
        <v>72</v>
      </c>
      <c r="C36" s="8">
        <v>23</v>
      </c>
      <c r="D36" s="8">
        <v>2438</v>
      </c>
      <c r="E36" s="42">
        <f t="shared" si="0"/>
        <v>9.4339622641509422</v>
      </c>
    </row>
    <row r="37" spans="1:12">
      <c r="A37" s="7" t="s">
        <v>73</v>
      </c>
      <c r="B37" s="6" t="s">
        <v>74</v>
      </c>
      <c r="C37" s="8">
        <v>256</v>
      </c>
      <c r="D37" s="8">
        <v>12915</v>
      </c>
      <c r="E37" s="42">
        <f t="shared" si="0"/>
        <v>19.821912504839332</v>
      </c>
    </row>
    <row r="38" spans="1:12">
      <c r="A38" s="7" t="s">
        <v>75</v>
      </c>
      <c r="B38" s="6" t="s">
        <v>76</v>
      </c>
      <c r="C38" s="8">
        <v>287</v>
      </c>
      <c r="D38" s="8">
        <v>12893</v>
      </c>
      <c r="E38" s="42">
        <f t="shared" si="0"/>
        <v>22.260141161870781</v>
      </c>
      <c r="H38" s="37"/>
    </row>
    <row r="39" spans="1:12">
      <c r="A39" s="7" t="s">
        <v>77</v>
      </c>
      <c r="B39" s="6" t="s">
        <v>78</v>
      </c>
      <c r="C39" s="8">
        <v>304</v>
      </c>
      <c r="D39" s="8">
        <v>15658</v>
      </c>
      <c r="E39" s="42">
        <f t="shared" si="0"/>
        <v>19.414995529441818</v>
      </c>
    </row>
    <row r="40" spans="1:12">
      <c r="A40" s="40" t="s">
        <v>79</v>
      </c>
      <c r="B40" s="13" t="s">
        <v>80</v>
      </c>
      <c r="C40" s="41">
        <v>1652</v>
      </c>
      <c r="D40" s="15" t="s">
        <v>79</v>
      </c>
      <c r="E40" s="43" t="s">
        <v>79</v>
      </c>
      <c r="F40" s="9"/>
    </row>
    <row r="41" spans="1:12">
      <c r="A41" s="47"/>
      <c r="B41" s="48" t="s">
        <v>81</v>
      </c>
      <c r="C41" s="49">
        <f>SUM(C5:C40)</f>
        <v>14743</v>
      </c>
      <c r="D41" s="49">
        <f>SUM(D5:D39)</f>
        <v>434788</v>
      </c>
      <c r="E41" s="50">
        <f>C41/D41*1000</f>
        <v>33.908479534853768</v>
      </c>
      <c r="F41" s="9"/>
    </row>
    <row r="42" spans="1:12">
      <c r="A42" s="17" t="s">
        <v>82</v>
      </c>
      <c r="B42" s="17"/>
    </row>
    <row r="43" spans="1:12" ht="15.75" customHeight="1"/>
    <row r="44" spans="1:12" ht="18.75">
      <c r="A44" s="4" t="s">
        <v>83</v>
      </c>
    </row>
    <row r="45" spans="1:12" ht="26.45" customHeight="1">
      <c r="A45" s="44" t="s">
        <v>4</v>
      </c>
      <c r="B45" s="45" t="s">
        <v>84</v>
      </c>
      <c r="C45" s="44" t="s">
        <v>6</v>
      </c>
    </row>
    <row r="46" spans="1:12">
      <c r="A46" s="28" t="s">
        <v>9</v>
      </c>
      <c r="B46" s="25" t="s">
        <v>72</v>
      </c>
      <c r="C46" s="18">
        <v>23</v>
      </c>
      <c r="D46" s="19"/>
      <c r="L46" s="20"/>
    </row>
    <row r="47" spans="1:12">
      <c r="A47" s="28" t="s">
        <v>11</v>
      </c>
      <c r="B47" s="28" t="s">
        <v>22</v>
      </c>
      <c r="C47" s="21">
        <v>75</v>
      </c>
      <c r="D47" s="19"/>
      <c r="L47" s="20"/>
    </row>
    <row r="48" spans="1:12">
      <c r="A48" s="28" t="s">
        <v>13</v>
      </c>
      <c r="B48" s="28" t="s">
        <v>64</v>
      </c>
      <c r="C48" s="21">
        <v>78</v>
      </c>
      <c r="D48" s="19"/>
      <c r="L48" s="20"/>
    </row>
    <row r="49" spans="1:12">
      <c r="A49" s="28" t="s">
        <v>15</v>
      </c>
      <c r="B49" s="28" t="s">
        <v>70</v>
      </c>
      <c r="C49" s="21">
        <v>93</v>
      </c>
      <c r="D49" s="19"/>
      <c r="L49" s="20"/>
    </row>
    <row r="50" spans="1:12">
      <c r="A50" s="28" t="s">
        <v>17</v>
      </c>
      <c r="B50" s="28" t="s">
        <v>28</v>
      </c>
      <c r="C50" s="21">
        <v>107</v>
      </c>
      <c r="D50" s="19"/>
      <c r="L50" s="20"/>
    </row>
    <row r="51" spans="1:12">
      <c r="A51" s="28" t="s">
        <v>19</v>
      </c>
      <c r="B51" s="28" t="s">
        <v>56</v>
      </c>
      <c r="C51" s="21">
        <v>122</v>
      </c>
      <c r="D51" s="19"/>
      <c r="L51" s="20"/>
    </row>
    <row r="52" spans="1:12">
      <c r="A52" s="28" t="s">
        <v>21</v>
      </c>
      <c r="B52" s="28" t="s">
        <v>12</v>
      </c>
      <c r="C52" s="21">
        <v>127</v>
      </c>
      <c r="D52" s="19"/>
      <c r="L52" s="20"/>
    </row>
    <row r="53" spans="1:12">
      <c r="A53" s="28" t="s">
        <v>23</v>
      </c>
      <c r="B53" s="28" t="s">
        <v>50</v>
      </c>
      <c r="C53" s="21">
        <v>133</v>
      </c>
      <c r="D53" s="19"/>
      <c r="L53" s="20"/>
    </row>
    <row r="54" spans="1:12">
      <c r="A54" s="28" t="s">
        <v>25</v>
      </c>
      <c r="B54" s="28" t="s">
        <v>34</v>
      </c>
      <c r="C54" s="21">
        <v>155</v>
      </c>
      <c r="D54" s="19"/>
      <c r="L54" s="20"/>
    </row>
    <row r="55" spans="1:12">
      <c r="A55" s="28" t="s">
        <v>27</v>
      </c>
      <c r="B55" s="28" t="s">
        <v>24</v>
      </c>
      <c r="C55" s="21">
        <v>156</v>
      </c>
      <c r="D55" s="19"/>
      <c r="L55" s="20"/>
    </row>
    <row r="56" spans="1:12">
      <c r="A56" s="28" t="s">
        <v>29</v>
      </c>
      <c r="B56" s="28" t="s">
        <v>10</v>
      </c>
      <c r="C56" s="21">
        <v>194</v>
      </c>
      <c r="D56" s="19"/>
      <c r="L56" s="20"/>
    </row>
    <row r="57" spans="1:12">
      <c r="A57" s="28" t="s">
        <v>31</v>
      </c>
      <c r="B57" s="28" t="s">
        <v>30</v>
      </c>
      <c r="C57" s="21">
        <v>201</v>
      </c>
      <c r="D57" s="19"/>
      <c r="L57" s="20"/>
    </row>
    <row r="58" spans="1:12">
      <c r="A58" s="28" t="s">
        <v>33</v>
      </c>
      <c r="B58" s="28" t="s">
        <v>58</v>
      </c>
      <c r="C58" s="21">
        <v>205</v>
      </c>
      <c r="D58" s="19"/>
      <c r="L58" s="20"/>
    </row>
    <row r="59" spans="1:12">
      <c r="A59" s="28" t="s">
        <v>35</v>
      </c>
      <c r="B59" s="28" t="s">
        <v>44</v>
      </c>
      <c r="C59" s="21">
        <v>211</v>
      </c>
      <c r="D59" s="19"/>
      <c r="L59" s="20"/>
    </row>
    <row r="60" spans="1:12">
      <c r="A60" s="28" t="s">
        <v>37</v>
      </c>
      <c r="B60" s="28" t="s">
        <v>26</v>
      </c>
      <c r="C60" s="21">
        <v>215</v>
      </c>
      <c r="D60" s="19"/>
      <c r="L60" s="20"/>
    </row>
    <row r="61" spans="1:12">
      <c r="A61" s="28" t="s">
        <v>39</v>
      </c>
      <c r="B61" s="28" t="s">
        <v>20</v>
      </c>
      <c r="C61" s="21">
        <v>226</v>
      </c>
      <c r="D61" s="19"/>
      <c r="L61" s="20"/>
    </row>
    <row r="62" spans="1:12">
      <c r="A62" s="28" t="s">
        <v>41</v>
      </c>
      <c r="B62" s="28" t="s">
        <v>54</v>
      </c>
      <c r="C62" s="21">
        <v>229</v>
      </c>
      <c r="D62" s="19"/>
      <c r="L62" s="20"/>
    </row>
    <row r="63" spans="1:12">
      <c r="A63" s="28" t="s">
        <v>43</v>
      </c>
      <c r="B63" s="28" t="s">
        <v>14</v>
      </c>
      <c r="C63" s="21">
        <v>256</v>
      </c>
      <c r="D63" s="19"/>
      <c r="L63" s="20"/>
    </row>
    <row r="64" spans="1:12">
      <c r="A64" s="28" t="s">
        <v>45</v>
      </c>
      <c r="B64" s="28" t="s">
        <v>74</v>
      </c>
      <c r="C64" s="21">
        <v>256</v>
      </c>
      <c r="D64" s="19"/>
      <c r="L64" s="20"/>
    </row>
    <row r="65" spans="1:12">
      <c r="A65" s="28" t="s">
        <v>47</v>
      </c>
      <c r="B65" s="28" t="s">
        <v>76</v>
      </c>
      <c r="C65" s="21">
        <v>287</v>
      </c>
      <c r="D65" s="19"/>
      <c r="L65" s="20"/>
    </row>
    <row r="66" spans="1:12">
      <c r="A66" s="28" t="s">
        <v>49</v>
      </c>
      <c r="B66" s="28" t="s">
        <v>78</v>
      </c>
      <c r="C66" s="21">
        <v>304</v>
      </c>
      <c r="D66" s="19"/>
      <c r="L66" s="20"/>
    </row>
    <row r="67" spans="1:12">
      <c r="A67" s="28" t="s">
        <v>51</v>
      </c>
      <c r="B67" s="28" t="s">
        <v>52</v>
      </c>
      <c r="C67" s="21">
        <v>341</v>
      </c>
      <c r="D67" s="19"/>
      <c r="L67" s="20"/>
    </row>
    <row r="68" spans="1:12">
      <c r="A68" s="28" t="s">
        <v>53</v>
      </c>
      <c r="B68" s="28" t="s">
        <v>32</v>
      </c>
      <c r="C68" s="21">
        <v>431</v>
      </c>
      <c r="D68" s="19"/>
      <c r="L68" s="20"/>
    </row>
    <row r="69" spans="1:12">
      <c r="A69" s="28" t="s">
        <v>55</v>
      </c>
      <c r="B69" s="28" t="s">
        <v>40</v>
      </c>
      <c r="C69" s="21">
        <v>436</v>
      </c>
      <c r="D69" s="19"/>
      <c r="L69" s="20"/>
    </row>
    <row r="70" spans="1:12">
      <c r="A70" s="28" t="s">
        <v>57</v>
      </c>
      <c r="B70" s="28" t="s">
        <v>46</v>
      </c>
      <c r="C70" s="21">
        <v>445</v>
      </c>
      <c r="D70" s="19"/>
      <c r="L70" s="20"/>
    </row>
    <row r="71" spans="1:12">
      <c r="A71" s="28" t="s">
        <v>59</v>
      </c>
      <c r="B71" s="28" t="s">
        <v>36</v>
      </c>
      <c r="C71" s="21">
        <v>456</v>
      </c>
      <c r="D71" s="19"/>
      <c r="L71" s="20"/>
    </row>
    <row r="72" spans="1:12">
      <c r="A72" s="28" t="s">
        <v>61</v>
      </c>
      <c r="B72" s="28" t="s">
        <v>18</v>
      </c>
      <c r="C72" s="21">
        <v>544</v>
      </c>
      <c r="D72" s="19"/>
      <c r="L72" s="20"/>
    </row>
    <row r="73" spans="1:12">
      <c r="A73" s="28" t="s">
        <v>63</v>
      </c>
      <c r="B73" s="28" t="s">
        <v>62</v>
      </c>
      <c r="C73" s="21">
        <v>567</v>
      </c>
      <c r="D73" s="19"/>
      <c r="L73" s="20"/>
    </row>
    <row r="74" spans="1:12">
      <c r="A74" s="28" t="s">
        <v>65</v>
      </c>
      <c r="B74" s="28" t="s">
        <v>16</v>
      </c>
      <c r="C74" s="21">
        <v>578</v>
      </c>
      <c r="D74" s="19"/>
      <c r="L74" s="20"/>
    </row>
    <row r="75" spans="1:12">
      <c r="A75" s="28" t="s">
        <v>67</v>
      </c>
      <c r="B75" s="28" t="s">
        <v>38</v>
      </c>
      <c r="C75" s="21">
        <v>613</v>
      </c>
      <c r="D75" s="19"/>
      <c r="L75" s="20"/>
    </row>
    <row r="76" spans="1:12">
      <c r="A76" s="28" t="s">
        <v>69</v>
      </c>
      <c r="B76" s="28" t="s">
        <v>48</v>
      </c>
      <c r="C76" s="21">
        <v>658</v>
      </c>
      <c r="D76" s="19"/>
      <c r="L76" s="20"/>
    </row>
    <row r="77" spans="1:12">
      <c r="A77" s="28" t="s">
        <v>71</v>
      </c>
      <c r="B77" s="28" t="s">
        <v>42</v>
      </c>
      <c r="C77" s="21">
        <v>683</v>
      </c>
      <c r="D77" s="19"/>
      <c r="L77" s="20"/>
    </row>
    <row r="78" spans="1:12">
      <c r="A78" s="28" t="s">
        <v>73</v>
      </c>
      <c r="B78" s="28" t="s">
        <v>66</v>
      </c>
      <c r="C78" s="21">
        <v>713</v>
      </c>
      <c r="D78" s="19"/>
      <c r="L78" s="20"/>
    </row>
    <row r="79" spans="1:12">
      <c r="A79" s="28" t="s">
        <v>75</v>
      </c>
      <c r="B79" s="28" t="s">
        <v>68</v>
      </c>
      <c r="C79" s="21">
        <v>864</v>
      </c>
      <c r="D79" s="19"/>
      <c r="L79" s="20"/>
    </row>
    <row r="80" spans="1:12">
      <c r="A80" s="28" t="s">
        <v>77</v>
      </c>
      <c r="B80" s="36" t="s">
        <v>60</v>
      </c>
      <c r="C80" s="22">
        <v>2109</v>
      </c>
      <c r="D80" s="19"/>
      <c r="L80" s="20"/>
    </row>
    <row r="81" spans="1:12">
      <c r="A81" s="46" t="s">
        <v>79</v>
      </c>
      <c r="B81" s="13" t="s">
        <v>80</v>
      </c>
      <c r="C81" s="41">
        <v>1652</v>
      </c>
      <c r="E81" s="17" t="s">
        <v>82</v>
      </c>
      <c r="L81" s="20"/>
    </row>
    <row r="82" spans="1:12">
      <c r="A82" s="51"/>
      <c r="B82" s="52" t="s">
        <v>81</v>
      </c>
      <c r="C82" s="49">
        <f>SUM(C46:C81)</f>
        <v>14743</v>
      </c>
      <c r="D82" s="19"/>
    </row>
    <row r="83" spans="1:12">
      <c r="A83" s="17" t="s">
        <v>82</v>
      </c>
      <c r="B83" s="17"/>
    </row>
    <row r="85" spans="1:12" hidden="1"/>
    <row r="86" spans="1:12" ht="18.75">
      <c r="A86" s="4" t="s">
        <v>85</v>
      </c>
    </row>
    <row r="87" spans="1:12" ht="30">
      <c r="A87" s="44" t="s">
        <v>4</v>
      </c>
      <c r="B87" s="45" t="s">
        <v>84</v>
      </c>
      <c r="C87" s="44" t="s">
        <v>8</v>
      </c>
    </row>
    <row r="88" spans="1:12">
      <c r="A88" s="25" t="s">
        <v>9</v>
      </c>
      <c r="B88" s="34" t="s">
        <v>72</v>
      </c>
      <c r="C88" s="26">
        <v>9.4339622641509422</v>
      </c>
      <c r="D88" s="27"/>
    </row>
    <row r="89" spans="1:12">
      <c r="A89" s="28" t="s">
        <v>11</v>
      </c>
      <c r="B89" s="35" t="s">
        <v>12</v>
      </c>
      <c r="C89" s="29">
        <v>16.818964375579391</v>
      </c>
      <c r="D89" s="27"/>
    </row>
    <row r="90" spans="1:12">
      <c r="A90" s="28" t="s">
        <v>13</v>
      </c>
      <c r="B90" s="35" t="s">
        <v>16</v>
      </c>
      <c r="C90" s="29">
        <v>18.196700667422238</v>
      </c>
      <c r="D90" s="27"/>
    </row>
    <row r="91" spans="1:12">
      <c r="A91" s="28" t="s">
        <v>15</v>
      </c>
      <c r="B91" s="35" t="s">
        <v>78</v>
      </c>
      <c r="C91" s="29">
        <v>19.414995529441818</v>
      </c>
      <c r="D91" s="27"/>
    </row>
    <row r="92" spans="1:12">
      <c r="A92" s="28" t="s">
        <v>17</v>
      </c>
      <c r="B92" s="35" t="s">
        <v>74</v>
      </c>
      <c r="C92" s="29">
        <v>19.821912504839332</v>
      </c>
      <c r="D92" s="27"/>
    </row>
    <row r="93" spans="1:12">
      <c r="A93" s="28" t="s">
        <v>19</v>
      </c>
      <c r="B93" s="35" t="s">
        <v>62</v>
      </c>
      <c r="C93" s="29">
        <v>20.067954979825867</v>
      </c>
      <c r="D93" s="27"/>
    </row>
    <row r="94" spans="1:12">
      <c r="A94" s="28" t="s">
        <v>21</v>
      </c>
      <c r="B94" s="35" t="s">
        <v>58</v>
      </c>
      <c r="C94" s="29">
        <v>20.20500689927065</v>
      </c>
      <c r="D94" s="27"/>
    </row>
    <row r="95" spans="1:12">
      <c r="A95" s="28" t="s">
        <v>23</v>
      </c>
      <c r="B95" s="35" t="s">
        <v>36</v>
      </c>
      <c r="C95" s="29">
        <v>21.937842778793417</v>
      </c>
      <c r="D95" s="27"/>
    </row>
    <row r="96" spans="1:12">
      <c r="A96" s="28" t="s">
        <v>25</v>
      </c>
      <c r="B96" s="35" t="s">
        <v>30</v>
      </c>
      <c r="C96" s="29">
        <v>22.029811486190269</v>
      </c>
      <c r="D96" s="27"/>
    </row>
    <row r="97" spans="1:4">
      <c r="A97" s="28" t="s">
        <v>27</v>
      </c>
      <c r="B97" s="35" t="s">
        <v>14</v>
      </c>
      <c r="C97" s="29">
        <v>22.185631337204267</v>
      </c>
      <c r="D97" s="27"/>
    </row>
    <row r="98" spans="1:4">
      <c r="A98" s="28" t="s">
        <v>29</v>
      </c>
      <c r="B98" s="35" t="s">
        <v>76</v>
      </c>
      <c r="C98" s="29">
        <v>22.260141161870781</v>
      </c>
      <c r="D98" s="27"/>
    </row>
    <row r="99" spans="1:4">
      <c r="A99" s="28" t="s">
        <v>31</v>
      </c>
      <c r="B99" s="35" t="s">
        <v>54</v>
      </c>
      <c r="C99" s="29">
        <v>22.597197552792579</v>
      </c>
      <c r="D99" s="27"/>
    </row>
    <row r="100" spans="1:4">
      <c r="A100" s="10" t="s">
        <v>33</v>
      </c>
      <c r="B100" s="35" t="s">
        <v>20</v>
      </c>
      <c r="C100" s="29">
        <v>22.855987055016179</v>
      </c>
      <c r="D100" s="27"/>
    </row>
    <row r="101" spans="1:4">
      <c r="A101" s="28" t="s">
        <v>35</v>
      </c>
      <c r="B101" s="35" t="s">
        <v>64</v>
      </c>
      <c r="C101" s="29">
        <v>22.867194371152156</v>
      </c>
      <c r="D101" s="27"/>
    </row>
    <row r="102" spans="1:4">
      <c r="A102" s="28" t="s">
        <v>37</v>
      </c>
      <c r="B102" s="35" t="s">
        <v>56</v>
      </c>
      <c r="C102" s="29">
        <v>23.023211926778639</v>
      </c>
      <c r="D102" s="27"/>
    </row>
    <row r="103" spans="1:4">
      <c r="A103" s="28" t="s">
        <v>39</v>
      </c>
      <c r="B103" s="35" t="s">
        <v>42</v>
      </c>
      <c r="C103" s="29">
        <v>24.812002760925637</v>
      </c>
      <c r="D103" s="27"/>
    </row>
    <row r="104" spans="1:4">
      <c r="A104" s="28" t="s">
        <v>41</v>
      </c>
      <c r="B104" s="35" t="s">
        <v>48</v>
      </c>
      <c r="C104" s="29">
        <v>24.923298359910607</v>
      </c>
      <c r="D104" s="27"/>
    </row>
    <row r="105" spans="1:4">
      <c r="A105" s="28" t="s">
        <v>43</v>
      </c>
      <c r="B105" s="35" t="s">
        <v>18</v>
      </c>
      <c r="C105" s="29">
        <v>25.9393477016975</v>
      </c>
      <c r="D105" s="27"/>
    </row>
    <row r="106" spans="1:4">
      <c r="A106" s="28" t="s">
        <v>45</v>
      </c>
      <c r="B106" s="35" t="s">
        <v>40</v>
      </c>
      <c r="C106" s="29">
        <v>27.045468643384403</v>
      </c>
      <c r="D106" s="27"/>
    </row>
    <row r="107" spans="1:4">
      <c r="A107" s="28" t="s">
        <v>47</v>
      </c>
      <c r="B107" s="35" t="s">
        <v>52</v>
      </c>
      <c r="C107" s="29">
        <v>27.282182574605969</v>
      </c>
      <c r="D107" s="27"/>
    </row>
    <row r="108" spans="1:4">
      <c r="A108" s="28" t="s">
        <v>49</v>
      </c>
      <c r="B108" s="35" t="s">
        <v>70</v>
      </c>
      <c r="C108" s="29">
        <v>28.105167724388032</v>
      </c>
      <c r="D108" s="27"/>
    </row>
    <row r="109" spans="1:4">
      <c r="A109" s="28" t="s">
        <v>51</v>
      </c>
      <c r="B109" s="35" t="s">
        <v>32</v>
      </c>
      <c r="C109" s="29">
        <v>28.790915163660653</v>
      </c>
      <c r="D109" s="27"/>
    </row>
    <row r="110" spans="1:4">
      <c r="A110" s="28" t="s">
        <v>53</v>
      </c>
      <c r="B110" s="35" t="s">
        <v>46</v>
      </c>
      <c r="C110" s="29">
        <v>29.42537856245454</v>
      </c>
      <c r="D110" s="27"/>
    </row>
    <row r="111" spans="1:4">
      <c r="A111" s="28" t="s">
        <v>55</v>
      </c>
      <c r="B111" s="35" t="s">
        <v>66</v>
      </c>
      <c r="C111" s="29">
        <v>31.901565995525726</v>
      </c>
      <c r="D111" s="27"/>
    </row>
    <row r="112" spans="1:4">
      <c r="A112" s="28" t="s">
        <v>57</v>
      </c>
      <c r="B112" s="35" t="s">
        <v>26</v>
      </c>
      <c r="C112" s="29">
        <v>35.857238158772518</v>
      </c>
      <c r="D112" s="27"/>
    </row>
    <row r="113" spans="1:5">
      <c r="A113" s="28" t="s">
        <v>59</v>
      </c>
      <c r="B113" s="35" t="s">
        <v>68</v>
      </c>
      <c r="C113" s="29">
        <v>40.059347181008903</v>
      </c>
      <c r="D113" s="27"/>
    </row>
    <row r="114" spans="1:5">
      <c r="A114" s="28" t="s">
        <v>61</v>
      </c>
      <c r="B114" s="35" t="s">
        <v>22</v>
      </c>
      <c r="C114" s="29">
        <v>42.25352112676056</v>
      </c>
      <c r="D114" s="27"/>
    </row>
    <row r="115" spans="1:5">
      <c r="A115" s="28" t="s">
        <v>63</v>
      </c>
      <c r="B115" s="35" t="s">
        <v>28</v>
      </c>
      <c r="C115" s="29">
        <v>42.443474811582703</v>
      </c>
      <c r="D115" s="27"/>
    </row>
    <row r="116" spans="1:5">
      <c r="A116" s="28" t="s">
        <v>65</v>
      </c>
      <c r="B116" s="35" t="s">
        <v>10</v>
      </c>
      <c r="C116" s="29">
        <v>43.911272068809417</v>
      </c>
      <c r="D116" s="27"/>
    </row>
    <row r="117" spans="1:5">
      <c r="A117" s="28" t="s">
        <v>67</v>
      </c>
      <c r="B117" s="35" t="s">
        <v>38</v>
      </c>
      <c r="C117" s="29">
        <v>45.515295515295513</v>
      </c>
      <c r="D117" s="27"/>
    </row>
    <row r="118" spans="1:5">
      <c r="A118" s="10" t="s">
        <v>69</v>
      </c>
      <c r="B118" s="27" t="s">
        <v>34</v>
      </c>
      <c r="C118" s="29">
        <v>52.453468697123519</v>
      </c>
      <c r="D118" s="27"/>
    </row>
    <row r="119" spans="1:5">
      <c r="A119" s="28" t="s">
        <v>71</v>
      </c>
      <c r="B119" s="35" t="s">
        <v>44</v>
      </c>
      <c r="C119" s="29">
        <v>54.819433619121853</v>
      </c>
      <c r="D119" s="27"/>
    </row>
    <row r="120" spans="1:5">
      <c r="A120" s="28" t="s">
        <v>73</v>
      </c>
      <c r="B120" s="35" t="s">
        <v>60</v>
      </c>
      <c r="C120" s="29">
        <v>85.955330942288882</v>
      </c>
      <c r="D120" s="27"/>
    </row>
    <row r="121" spans="1:5">
      <c r="A121" s="28" t="s">
        <v>75</v>
      </c>
      <c r="B121" s="35" t="s">
        <v>24</v>
      </c>
      <c r="C121" s="29">
        <v>98.609355246523393</v>
      </c>
      <c r="D121" s="27"/>
    </row>
    <row r="122" spans="1:5">
      <c r="A122" s="28" t="s">
        <v>77</v>
      </c>
      <c r="B122" s="35" t="s">
        <v>50</v>
      </c>
      <c r="C122" s="33">
        <v>126.90839694656489</v>
      </c>
      <c r="D122" s="27"/>
    </row>
    <row r="123" spans="1:5">
      <c r="A123" s="31"/>
      <c r="B123" s="57"/>
      <c r="C123" s="57"/>
      <c r="E123" s="17" t="s">
        <v>82</v>
      </c>
    </row>
    <row r="124" spans="1:5">
      <c r="A124" s="51"/>
      <c r="B124" s="53" t="s">
        <v>81</v>
      </c>
      <c r="C124" s="53">
        <v>33.908479534853768</v>
      </c>
      <c r="D124" s="19"/>
    </row>
    <row r="125" spans="1:5">
      <c r="A125" s="17" t="s">
        <v>82</v>
      </c>
    </row>
    <row r="129" ht="90.6" customHeight="1"/>
  </sheetData>
  <dataConsolidate/>
  <conditionalFormatting sqref="D12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8:D122 C123">
    <cfRule type="colorScale" priority="8">
      <colorScale>
        <cfvo type="min"/>
        <cfvo type="percentile" val="50"/>
        <cfvo type="max"/>
        <color theme="3" tint="9.9978637043366805E-2"/>
        <color theme="3" tint="0.89999084444715716"/>
        <color rgb="FFFF0000"/>
      </colorScale>
    </cfRule>
  </conditionalFormatting>
  <conditionalFormatting sqref="D8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6:D80">
    <cfRule type="colorScale" priority="6">
      <colorScale>
        <cfvo type="min"/>
        <cfvo type="percentile" val="50"/>
        <cfvo type="max"/>
        <color theme="3" tint="0.249977111117893"/>
        <color theme="3" tint="0.89999084444715716"/>
        <color rgb="FFFF0000"/>
      </colorScale>
    </cfRule>
  </conditionalFormatting>
  <hyperlinks>
    <hyperlink ref="A3:B3" location="UWAGA!A1" display="UWAGA: wyjaśnienia metodologiczne" xr:uid="{00000000-0004-0000-0200-000000000000}"/>
  </hyperlinks>
  <pageMargins left="0.31496062992125984" right="0.31496062992125984" top="0.74803149606299213" bottom="0.74803149606299213" header="0.31496062992125984" footer="0.31496062992125984"/>
  <pageSetup paperSize="9" scale="49" orientation="landscape" r:id="rId1"/>
  <headerFooter>
    <oddHeader>&amp;LGDAŃSK W LICZBACH / BEZPIECZEŃSTWO
&amp;F&amp;R&amp;D</oddHeader>
    <oddFooter>&amp;L&amp;"-,Kursywa"&amp;8Opracowanie: Referat Badań i Analiz Społeczno-Gospodarczych, WPG, UMG&amp;R&amp;"-,Kursywa"&amp;8www.gdansk.pl/gdanskwliczbach</oddFooter>
  </headerFooter>
  <rowBreaks count="3" manualBreakCount="3">
    <brk id="42" max="16383" man="1"/>
    <brk id="83" max="16383" man="1"/>
    <brk id="125" max="16383" man="1"/>
  </rowBreaks>
  <colBreaks count="1" manualBreakCount="1">
    <brk id="2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L125"/>
  <sheetViews>
    <sheetView showGridLines="0" zoomScale="90" zoomScaleNormal="90" workbookViewId="0"/>
  </sheetViews>
  <sheetFormatPr defaultColWidth="43" defaultRowHeight="15"/>
  <cols>
    <col min="1" max="1" width="3.5703125" style="5" customWidth="1"/>
    <col min="2" max="2" width="56.85546875" style="5" customWidth="1"/>
    <col min="3" max="5" width="25.85546875" style="5" customWidth="1"/>
    <col min="6" max="6" width="8.85546875" style="5" customWidth="1"/>
    <col min="7" max="7" width="9.140625" style="5" customWidth="1"/>
    <col min="8" max="8" width="24.85546875" style="5" bestFit="1" customWidth="1"/>
    <col min="9" max="9" width="29.5703125" style="5" bestFit="1" customWidth="1"/>
    <col min="10" max="10" width="21.5703125" style="5" bestFit="1" customWidth="1"/>
    <col min="11" max="12" width="9.140625" style="5" customWidth="1"/>
    <col min="13" max="13" width="1.85546875" style="5" customWidth="1"/>
    <col min="14" max="14" width="23.140625" style="5" customWidth="1"/>
    <col min="15" max="15" width="31.28515625" style="5" customWidth="1"/>
    <col min="16" max="242" width="9.140625" style="5" customWidth="1"/>
    <col min="243" max="16384" width="43" style="5"/>
  </cols>
  <sheetData>
    <row r="1" spans="1:11" customFormat="1" ht="3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8.75">
      <c r="A2" s="4" t="s">
        <v>2</v>
      </c>
    </row>
    <row r="3" spans="1:11" ht="15.75">
      <c r="A3" s="58" t="s">
        <v>3</v>
      </c>
      <c r="B3" s="59"/>
      <c r="C3" s="60"/>
      <c r="D3" s="60"/>
      <c r="E3" s="60"/>
    </row>
    <row r="4" spans="1:11" ht="30">
      <c r="A4" s="44" t="s">
        <v>4</v>
      </c>
      <c r="B4" s="44" t="s">
        <v>5</v>
      </c>
      <c r="C4" s="44" t="s">
        <v>86</v>
      </c>
      <c r="D4" s="44" t="s">
        <v>87</v>
      </c>
      <c r="E4" s="44" t="s">
        <v>88</v>
      </c>
    </row>
    <row r="5" spans="1:11">
      <c r="A5" s="7" t="s">
        <v>9</v>
      </c>
      <c r="B5" s="6" t="s">
        <v>10</v>
      </c>
      <c r="C5" s="7">
        <v>167</v>
      </c>
      <c r="D5" s="8">
        <v>4516</v>
      </c>
      <c r="E5" s="6">
        <f t="shared" ref="E5:E39" si="0">C5/D5*1000</f>
        <v>36.979627989371124</v>
      </c>
      <c r="F5" s="62"/>
      <c r="G5" s="9"/>
    </row>
    <row r="6" spans="1:11">
      <c r="A6" s="7" t="s">
        <v>11</v>
      </c>
      <c r="B6" s="6" t="s">
        <v>12</v>
      </c>
      <c r="C6" s="7">
        <v>87</v>
      </c>
      <c r="D6" s="8">
        <v>7579</v>
      </c>
      <c r="E6" s="6">
        <f t="shared" si="0"/>
        <v>11.479086950785065</v>
      </c>
      <c r="F6" s="27"/>
    </row>
    <row r="7" spans="1:11" ht="15" customHeight="1">
      <c r="A7" s="7" t="s">
        <v>13</v>
      </c>
      <c r="B7" s="6" t="s">
        <v>14</v>
      </c>
      <c r="C7" s="7">
        <v>272</v>
      </c>
      <c r="D7" s="8">
        <v>11944</v>
      </c>
      <c r="E7" s="6">
        <f t="shared" si="0"/>
        <v>22.772940388479569</v>
      </c>
      <c r="F7" s="63"/>
      <c r="G7" s="11"/>
    </row>
    <row r="8" spans="1:11">
      <c r="A8" s="7" t="s">
        <v>15</v>
      </c>
      <c r="B8" s="6" t="s">
        <v>16</v>
      </c>
      <c r="C8" s="7">
        <v>537</v>
      </c>
      <c r="D8" s="8">
        <v>32099</v>
      </c>
      <c r="E8" s="6">
        <f t="shared" si="0"/>
        <v>16.729493130627123</v>
      </c>
      <c r="F8" s="63"/>
      <c r="G8" s="11"/>
    </row>
    <row r="9" spans="1:11">
      <c r="A9" s="7" t="s">
        <v>17</v>
      </c>
      <c r="B9" s="6" t="s">
        <v>18</v>
      </c>
      <c r="C9" s="7">
        <v>417</v>
      </c>
      <c r="D9" s="8">
        <v>20100</v>
      </c>
      <c r="E9" s="6">
        <f t="shared" si="0"/>
        <v>20.746268656716421</v>
      </c>
      <c r="F9" s="63"/>
      <c r="G9" s="11"/>
    </row>
    <row r="10" spans="1:11">
      <c r="A10" s="7" t="s">
        <v>19</v>
      </c>
      <c r="B10" s="6" t="s">
        <v>20</v>
      </c>
      <c r="C10" s="7">
        <v>204</v>
      </c>
      <c r="D10" s="8">
        <v>9827</v>
      </c>
      <c r="E10" s="6">
        <f t="shared" si="0"/>
        <v>20.759133000915842</v>
      </c>
      <c r="F10" s="63"/>
      <c r="G10" s="11"/>
    </row>
    <row r="11" spans="1:11">
      <c r="A11" s="7" t="s">
        <v>21</v>
      </c>
      <c r="B11" s="6" t="s">
        <v>89</v>
      </c>
      <c r="C11" s="7">
        <v>66</v>
      </c>
      <c r="D11" s="8">
        <v>1824</v>
      </c>
      <c r="E11" s="6">
        <f t="shared" si="0"/>
        <v>36.184210526315788</v>
      </c>
      <c r="F11" s="63"/>
      <c r="G11" s="11"/>
    </row>
    <row r="12" spans="1:11">
      <c r="A12" s="7" t="s">
        <v>23</v>
      </c>
      <c r="B12" s="6" t="s">
        <v>24</v>
      </c>
      <c r="C12" s="7">
        <v>165</v>
      </c>
      <c r="D12" s="8">
        <v>1462</v>
      </c>
      <c r="E12" s="6">
        <f t="shared" si="0"/>
        <v>112.85909712722298</v>
      </c>
      <c r="F12" s="63"/>
      <c r="G12" s="11"/>
    </row>
    <row r="13" spans="1:11">
      <c r="A13" s="7" t="s">
        <v>25</v>
      </c>
      <c r="B13" s="6" t="s">
        <v>26</v>
      </c>
      <c r="C13" s="7">
        <v>209</v>
      </c>
      <c r="D13" s="8">
        <v>5947</v>
      </c>
      <c r="E13" s="6">
        <f t="shared" si="0"/>
        <v>35.143769968051117</v>
      </c>
      <c r="F13" s="63"/>
      <c r="G13" s="11"/>
    </row>
    <row r="14" spans="1:11">
      <c r="A14" s="7" t="s">
        <v>27</v>
      </c>
      <c r="B14" s="6" t="s">
        <v>28</v>
      </c>
      <c r="C14" s="7">
        <v>133</v>
      </c>
      <c r="D14" s="8">
        <v>2636</v>
      </c>
      <c r="E14" s="6">
        <f t="shared" si="0"/>
        <v>50.455235204855839</v>
      </c>
      <c r="F14" s="63"/>
      <c r="G14" s="11"/>
    </row>
    <row r="15" spans="1:11">
      <c r="A15" s="7" t="s">
        <v>29</v>
      </c>
      <c r="B15" s="6" t="s">
        <v>30</v>
      </c>
      <c r="C15" s="7">
        <v>232</v>
      </c>
      <c r="D15" s="8">
        <v>9389</v>
      </c>
      <c r="E15" s="6">
        <f t="shared" si="0"/>
        <v>24.709766748322505</v>
      </c>
      <c r="F15" s="63"/>
      <c r="G15" s="11"/>
    </row>
    <row r="16" spans="1:11">
      <c r="A16" s="7" t="s">
        <v>31</v>
      </c>
      <c r="B16" s="6" t="s">
        <v>32</v>
      </c>
      <c r="C16" s="7">
        <v>486</v>
      </c>
      <c r="D16" s="8">
        <v>15215</v>
      </c>
      <c r="E16" s="6">
        <f t="shared" si="0"/>
        <v>31.942162339796258</v>
      </c>
      <c r="F16" s="63"/>
      <c r="G16" s="11"/>
    </row>
    <row r="17" spans="1:7">
      <c r="A17" s="7" t="s">
        <v>33</v>
      </c>
      <c r="B17" s="6" t="s">
        <v>34</v>
      </c>
      <c r="C17" s="7">
        <v>116</v>
      </c>
      <c r="D17" s="8">
        <v>3023</v>
      </c>
      <c r="E17" s="6">
        <f t="shared" si="0"/>
        <v>38.372477671187561</v>
      </c>
      <c r="F17" s="63"/>
      <c r="G17" s="11"/>
    </row>
    <row r="18" spans="1:7">
      <c r="A18" s="7" t="s">
        <v>35</v>
      </c>
      <c r="B18" s="6" t="s">
        <v>90</v>
      </c>
      <c r="C18" s="7">
        <v>344</v>
      </c>
      <c r="D18" s="8">
        <v>20488</v>
      </c>
      <c r="E18" s="6">
        <f t="shared" si="0"/>
        <v>16.790316282702069</v>
      </c>
      <c r="F18" s="63"/>
      <c r="G18" s="11"/>
    </row>
    <row r="19" spans="1:7">
      <c r="A19" s="7" t="s">
        <v>37</v>
      </c>
      <c r="B19" s="6" t="s">
        <v>91</v>
      </c>
      <c r="C19" s="7">
        <v>518</v>
      </c>
      <c r="D19" s="8">
        <v>13889</v>
      </c>
      <c r="E19" s="6">
        <f t="shared" si="0"/>
        <v>37.295701634386923</v>
      </c>
      <c r="F19" s="63"/>
      <c r="G19" s="11"/>
    </row>
    <row r="20" spans="1:7">
      <c r="A20" s="7" t="s">
        <v>39</v>
      </c>
      <c r="B20" s="6" t="s">
        <v>40</v>
      </c>
      <c r="C20" s="7">
        <v>335</v>
      </c>
      <c r="D20" s="8">
        <v>16114</v>
      </c>
      <c r="E20" s="6">
        <f t="shared" si="0"/>
        <v>20.789375698150675</v>
      </c>
      <c r="F20" s="63"/>
      <c r="G20" s="11"/>
    </row>
    <row r="21" spans="1:7">
      <c r="A21" s="7" t="s">
        <v>41</v>
      </c>
      <c r="B21" s="6" t="s">
        <v>42</v>
      </c>
      <c r="C21" s="7">
        <v>479</v>
      </c>
      <c r="D21" s="8">
        <v>27495</v>
      </c>
      <c r="E21" s="6">
        <f t="shared" si="0"/>
        <v>17.421349336242955</v>
      </c>
      <c r="F21" s="63"/>
      <c r="G21" s="11"/>
    </row>
    <row r="22" spans="1:7">
      <c r="A22" s="7" t="s">
        <v>43</v>
      </c>
      <c r="B22" s="6" t="s">
        <v>44</v>
      </c>
      <c r="C22" s="7">
        <v>171</v>
      </c>
      <c r="D22" s="8">
        <v>3978</v>
      </c>
      <c r="E22" s="6">
        <f t="shared" si="0"/>
        <v>42.986425339366512</v>
      </c>
      <c r="F22" s="63"/>
      <c r="G22" s="11"/>
    </row>
    <row r="23" spans="1:7">
      <c r="A23" s="7" t="s">
        <v>45</v>
      </c>
      <c r="B23" s="6" t="s">
        <v>46</v>
      </c>
      <c r="C23" s="7">
        <v>394</v>
      </c>
      <c r="D23" s="8">
        <v>15251</v>
      </c>
      <c r="E23" s="6">
        <f t="shared" si="0"/>
        <v>25.834371516621861</v>
      </c>
      <c r="F23" s="63"/>
      <c r="G23" s="11"/>
    </row>
    <row r="24" spans="1:7">
      <c r="A24" s="7" t="s">
        <v>47</v>
      </c>
      <c r="B24" s="6" t="s">
        <v>48</v>
      </c>
      <c r="C24" s="7">
        <v>617</v>
      </c>
      <c r="D24" s="8">
        <v>27015</v>
      </c>
      <c r="E24" s="6">
        <f t="shared" si="0"/>
        <v>22.839163427725335</v>
      </c>
      <c r="F24" s="63"/>
      <c r="G24" s="11"/>
    </row>
    <row r="25" spans="1:7">
      <c r="A25" s="7" t="s">
        <v>49</v>
      </c>
      <c r="B25" s="6" t="s">
        <v>50</v>
      </c>
      <c r="C25" s="7">
        <v>102</v>
      </c>
      <c r="D25" s="8">
        <v>1108</v>
      </c>
      <c r="E25" s="6">
        <f t="shared" si="0"/>
        <v>92.057761732851986</v>
      </c>
      <c r="F25" s="63"/>
      <c r="G25" s="11"/>
    </row>
    <row r="26" spans="1:7">
      <c r="A26" s="7" t="s">
        <v>51</v>
      </c>
      <c r="B26" s="6" t="s">
        <v>52</v>
      </c>
      <c r="C26" s="7">
        <v>362</v>
      </c>
      <c r="D26" s="8">
        <v>12754</v>
      </c>
      <c r="E26" s="6">
        <f t="shared" si="0"/>
        <v>28.383252312999844</v>
      </c>
      <c r="F26" s="63"/>
      <c r="G26" s="11"/>
    </row>
    <row r="27" spans="1:7">
      <c r="A27" s="7" t="s">
        <v>53</v>
      </c>
      <c r="B27" s="6" t="s">
        <v>54</v>
      </c>
      <c r="C27" s="7">
        <v>274</v>
      </c>
      <c r="D27" s="8">
        <v>10439</v>
      </c>
      <c r="E27" s="6">
        <f t="shared" si="0"/>
        <v>26.247724877861863</v>
      </c>
      <c r="F27" s="63"/>
      <c r="G27" s="11"/>
    </row>
    <row r="28" spans="1:7">
      <c r="A28" s="7" t="s">
        <v>55</v>
      </c>
      <c r="B28" s="6" t="s">
        <v>56</v>
      </c>
      <c r="C28" s="7">
        <v>89</v>
      </c>
      <c r="D28" s="8">
        <v>5478</v>
      </c>
      <c r="E28" s="6">
        <f t="shared" si="0"/>
        <v>16.24680540343191</v>
      </c>
      <c r="F28" s="27"/>
    </row>
    <row r="29" spans="1:7">
      <c r="A29" s="7" t="s">
        <v>57</v>
      </c>
      <c r="B29" s="6" t="s">
        <v>58</v>
      </c>
      <c r="C29" s="7">
        <v>165</v>
      </c>
      <c r="D29" s="8">
        <v>10323</v>
      </c>
      <c r="E29" s="6">
        <f t="shared" si="0"/>
        <v>15.983725661145014</v>
      </c>
      <c r="F29" s="27"/>
    </row>
    <row r="30" spans="1:7">
      <c r="A30" s="7" t="s">
        <v>59</v>
      </c>
      <c r="B30" s="6" t="s">
        <v>60</v>
      </c>
      <c r="C30" s="7">
        <v>2359</v>
      </c>
      <c r="D30" s="8">
        <v>25127</v>
      </c>
      <c r="E30" s="6">
        <f t="shared" si="0"/>
        <v>93.883073984160461</v>
      </c>
      <c r="F30" s="27"/>
    </row>
    <row r="31" spans="1:7">
      <c r="A31" s="7" t="s">
        <v>61</v>
      </c>
      <c r="B31" s="6" t="s">
        <v>92</v>
      </c>
      <c r="C31" s="7">
        <v>454</v>
      </c>
      <c r="D31" s="8">
        <v>27731</v>
      </c>
      <c r="E31" s="6">
        <f t="shared" si="0"/>
        <v>16.371569723414229</v>
      </c>
      <c r="F31" s="27"/>
    </row>
    <row r="32" spans="1:7">
      <c r="A32" s="7" t="s">
        <v>63</v>
      </c>
      <c r="B32" s="6" t="s">
        <v>64</v>
      </c>
      <c r="C32" s="7">
        <v>64</v>
      </c>
      <c r="D32" s="8">
        <v>4155</v>
      </c>
      <c r="E32" s="6">
        <f t="shared" si="0"/>
        <v>15.403128760529482</v>
      </c>
      <c r="F32" s="27"/>
    </row>
    <row r="33" spans="1:12">
      <c r="A33" s="7" t="s">
        <v>65</v>
      </c>
      <c r="B33" s="6" t="s">
        <v>66</v>
      </c>
      <c r="C33" s="7">
        <v>613</v>
      </c>
      <c r="D33" s="8">
        <v>22635</v>
      </c>
      <c r="E33" s="6">
        <f t="shared" si="0"/>
        <v>27.081952728075986</v>
      </c>
      <c r="F33" s="27"/>
    </row>
    <row r="34" spans="1:12">
      <c r="A34" s="7" t="s">
        <v>67</v>
      </c>
      <c r="B34" s="6" t="s">
        <v>68</v>
      </c>
      <c r="C34" s="7">
        <v>984</v>
      </c>
      <c r="D34" s="8">
        <v>22014</v>
      </c>
      <c r="E34" s="6">
        <f t="shared" si="0"/>
        <v>44.698828018533661</v>
      </c>
      <c r="F34" s="27"/>
    </row>
    <row r="35" spans="1:12">
      <c r="A35" s="7" t="s">
        <v>69</v>
      </c>
      <c r="B35" s="6" t="s">
        <v>70</v>
      </c>
      <c r="C35" s="7">
        <v>113</v>
      </c>
      <c r="D35" s="8">
        <v>3341</v>
      </c>
      <c r="E35" s="6">
        <f t="shared" si="0"/>
        <v>33.822208919485185</v>
      </c>
      <c r="F35" s="27"/>
    </row>
    <row r="36" spans="1:12">
      <c r="A36" s="7" t="s">
        <v>71</v>
      </c>
      <c r="B36" s="6" t="s">
        <v>72</v>
      </c>
      <c r="C36" s="7">
        <v>31</v>
      </c>
      <c r="D36" s="8">
        <v>2497</v>
      </c>
      <c r="E36" s="6">
        <f t="shared" si="0"/>
        <v>12.414897877452942</v>
      </c>
      <c r="F36" s="27"/>
    </row>
    <row r="37" spans="1:12">
      <c r="A37" s="7" t="s">
        <v>73</v>
      </c>
      <c r="B37" s="6" t="s">
        <v>74</v>
      </c>
      <c r="C37" s="7">
        <v>208</v>
      </c>
      <c r="D37" s="8">
        <v>13136</v>
      </c>
      <c r="E37" s="6">
        <f t="shared" si="0"/>
        <v>15.834348355663822</v>
      </c>
      <c r="F37" s="27"/>
    </row>
    <row r="38" spans="1:12">
      <c r="A38" s="7" t="s">
        <v>75</v>
      </c>
      <c r="B38" s="6" t="s">
        <v>76</v>
      </c>
      <c r="C38" s="7">
        <v>249</v>
      </c>
      <c r="D38" s="8">
        <v>13068</v>
      </c>
      <c r="E38" s="6">
        <f t="shared" si="0"/>
        <v>19.054178145087235</v>
      </c>
      <c r="F38" s="27"/>
    </row>
    <row r="39" spans="1:12">
      <c r="A39" s="7" t="s">
        <v>77</v>
      </c>
      <c r="B39" s="6" t="s">
        <v>93</v>
      </c>
      <c r="C39" s="7">
        <v>334</v>
      </c>
      <c r="D39" s="8">
        <v>16075</v>
      </c>
      <c r="E39" s="6">
        <f t="shared" si="0"/>
        <v>20.777604976671849</v>
      </c>
      <c r="F39" s="27"/>
    </row>
    <row r="40" spans="1:12">
      <c r="A40" s="12" t="s">
        <v>79</v>
      </c>
      <c r="B40" s="13" t="s">
        <v>80</v>
      </c>
      <c r="C40" s="14">
        <v>1323</v>
      </c>
      <c r="D40" s="15" t="s">
        <v>79</v>
      </c>
      <c r="E40" s="16" t="s">
        <v>79</v>
      </c>
    </row>
    <row r="41" spans="1:12">
      <c r="A41" s="47"/>
      <c r="B41" s="48" t="s">
        <v>81</v>
      </c>
      <c r="C41" s="61">
        <f>SUM(C5:C40)</f>
        <v>13673</v>
      </c>
      <c r="D41" s="49">
        <f>SUM(D5:D39)</f>
        <v>439672</v>
      </c>
      <c r="E41" s="48">
        <f>C41/D41*1000</f>
        <v>31.098182281336996</v>
      </c>
    </row>
    <row r="42" spans="1:12">
      <c r="A42" s="17" t="s">
        <v>82</v>
      </c>
      <c r="B42" s="17"/>
    </row>
    <row r="43" spans="1:12" ht="15.75" customHeight="1"/>
    <row r="44" spans="1:12" ht="18.75">
      <c r="A44" s="4" t="s">
        <v>83</v>
      </c>
    </row>
    <row r="45" spans="1:12" ht="30">
      <c r="A45" s="44" t="s">
        <v>4</v>
      </c>
      <c r="B45" s="45" t="s">
        <v>84</v>
      </c>
      <c r="C45" s="44" t="s">
        <v>86</v>
      </c>
    </row>
    <row r="46" spans="1:12">
      <c r="A46" s="28" t="s">
        <v>9</v>
      </c>
      <c r="B46" s="25" t="s">
        <v>72</v>
      </c>
      <c r="C46" s="18">
        <v>31</v>
      </c>
      <c r="D46" s="19"/>
      <c r="L46" s="20"/>
    </row>
    <row r="47" spans="1:12">
      <c r="A47" s="28" t="s">
        <v>11</v>
      </c>
      <c r="B47" s="28" t="s">
        <v>64</v>
      </c>
      <c r="C47" s="21">
        <v>64</v>
      </c>
      <c r="D47" s="19"/>
      <c r="L47" s="20"/>
    </row>
    <row r="48" spans="1:12">
      <c r="A48" s="28" t="s">
        <v>13</v>
      </c>
      <c r="B48" s="28" t="s">
        <v>89</v>
      </c>
      <c r="C48" s="21">
        <v>66</v>
      </c>
      <c r="D48" s="19"/>
      <c r="L48" s="20"/>
    </row>
    <row r="49" spans="1:12">
      <c r="A49" s="28" t="s">
        <v>15</v>
      </c>
      <c r="B49" s="28" t="s">
        <v>12</v>
      </c>
      <c r="C49" s="21">
        <v>87</v>
      </c>
      <c r="D49" s="19"/>
      <c r="L49" s="20"/>
    </row>
    <row r="50" spans="1:12">
      <c r="A50" s="28" t="s">
        <v>17</v>
      </c>
      <c r="B50" s="28" t="s">
        <v>56</v>
      </c>
      <c r="C50" s="21">
        <v>89</v>
      </c>
      <c r="D50" s="19"/>
      <c r="L50" s="20"/>
    </row>
    <row r="51" spans="1:12">
      <c r="A51" s="28" t="s">
        <v>19</v>
      </c>
      <c r="B51" s="28" t="s">
        <v>50</v>
      </c>
      <c r="C51" s="21">
        <v>102</v>
      </c>
      <c r="D51" s="19"/>
      <c r="L51" s="20"/>
    </row>
    <row r="52" spans="1:12">
      <c r="A52" s="28" t="s">
        <v>21</v>
      </c>
      <c r="B52" s="28" t="s">
        <v>70</v>
      </c>
      <c r="C52" s="21">
        <v>113</v>
      </c>
      <c r="D52" s="19"/>
      <c r="L52" s="20"/>
    </row>
    <row r="53" spans="1:12">
      <c r="A53" s="28" t="s">
        <v>23</v>
      </c>
      <c r="B53" s="28" t="s">
        <v>34</v>
      </c>
      <c r="C53" s="21">
        <v>116</v>
      </c>
      <c r="D53" s="19"/>
      <c r="L53" s="20"/>
    </row>
    <row r="54" spans="1:12">
      <c r="A54" s="28" t="s">
        <v>25</v>
      </c>
      <c r="B54" s="28" t="s">
        <v>28</v>
      </c>
      <c r="C54" s="21">
        <v>133</v>
      </c>
      <c r="D54" s="19"/>
      <c r="L54" s="20"/>
    </row>
    <row r="55" spans="1:12">
      <c r="A55" s="28" t="s">
        <v>27</v>
      </c>
      <c r="B55" s="28" t="s">
        <v>24</v>
      </c>
      <c r="C55" s="21">
        <v>165</v>
      </c>
      <c r="D55" s="19"/>
      <c r="L55" s="20"/>
    </row>
    <row r="56" spans="1:12">
      <c r="A56" s="28" t="s">
        <v>29</v>
      </c>
      <c r="B56" s="28" t="s">
        <v>58</v>
      </c>
      <c r="C56" s="21">
        <v>165</v>
      </c>
      <c r="D56" s="19"/>
      <c r="L56" s="20"/>
    </row>
    <row r="57" spans="1:12">
      <c r="A57" s="28" t="s">
        <v>31</v>
      </c>
      <c r="B57" s="28" t="s">
        <v>10</v>
      </c>
      <c r="C57" s="21">
        <v>167</v>
      </c>
      <c r="D57" s="19"/>
      <c r="L57" s="20"/>
    </row>
    <row r="58" spans="1:12">
      <c r="A58" s="28" t="s">
        <v>33</v>
      </c>
      <c r="B58" s="28" t="s">
        <v>44</v>
      </c>
      <c r="C58" s="21">
        <v>171</v>
      </c>
      <c r="D58" s="19"/>
      <c r="L58" s="20"/>
    </row>
    <row r="59" spans="1:12">
      <c r="A59" s="28" t="s">
        <v>35</v>
      </c>
      <c r="B59" s="28" t="s">
        <v>20</v>
      </c>
      <c r="C59" s="21">
        <v>204</v>
      </c>
      <c r="D59" s="19"/>
      <c r="L59" s="20"/>
    </row>
    <row r="60" spans="1:12">
      <c r="A60" s="28" t="s">
        <v>37</v>
      </c>
      <c r="B60" s="28" t="s">
        <v>74</v>
      </c>
      <c r="C60" s="21">
        <v>208</v>
      </c>
      <c r="D60" s="19"/>
      <c r="L60" s="20"/>
    </row>
    <row r="61" spans="1:12">
      <c r="A61" s="28" t="s">
        <v>39</v>
      </c>
      <c r="B61" s="28" t="s">
        <v>26</v>
      </c>
      <c r="C61" s="21">
        <v>209</v>
      </c>
      <c r="D61" s="19"/>
      <c r="L61" s="20"/>
    </row>
    <row r="62" spans="1:12">
      <c r="A62" s="28" t="s">
        <v>41</v>
      </c>
      <c r="B62" s="28" t="s">
        <v>30</v>
      </c>
      <c r="C62" s="21">
        <v>232</v>
      </c>
      <c r="D62" s="19"/>
      <c r="L62" s="20"/>
    </row>
    <row r="63" spans="1:12">
      <c r="A63" s="28" t="s">
        <v>43</v>
      </c>
      <c r="B63" s="28" t="s">
        <v>76</v>
      </c>
      <c r="C63" s="21">
        <v>249</v>
      </c>
      <c r="D63" s="19"/>
      <c r="L63" s="20"/>
    </row>
    <row r="64" spans="1:12">
      <c r="A64" s="28" t="s">
        <v>45</v>
      </c>
      <c r="B64" s="28" t="s">
        <v>14</v>
      </c>
      <c r="C64" s="21">
        <v>272</v>
      </c>
      <c r="D64" s="19"/>
      <c r="L64" s="20"/>
    </row>
    <row r="65" spans="1:12">
      <c r="A65" s="28" t="s">
        <v>47</v>
      </c>
      <c r="B65" s="28" t="s">
        <v>54</v>
      </c>
      <c r="C65" s="21">
        <v>274</v>
      </c>
      <c r="D65" s="19"/>
      <c r="L65" s="20"/>
    </row>
    <row r="66" spans="1:12">
      <c r="A66" s="28" t="s">
        <v>49</v>
      </c>
      <c r="B66" s="28" t="s">
        <v>93</v>
      </c>
      <c r="C66" s="21">
        <v>334</v>
      </c>
      <c r="D66" s="19"/>
      <c r="L66" s="20"/>
    </row>
    <row r="67" spans="1:12">
      <c r="A67" s="28" t="s">
        <v>51</v>
      </c>
      <c r="B67" s="28" t="s">
        <v>40</v>
      </c>
      <c r="C67" s="21">
        <v>335</v>
      </c>
      <c r="D67" s="19"/>
      <c r="L67" s="20"/>
    </row>
    <row r="68" spans="1:12">
      <c r="A68" s="28" t="s">
        <v>53</v>
      </c>
      <c r="B68" s="28" t="s">
        <v>90</v>
      </c>
      <c r="C68" s="21">
        <v>344</v>
      </c>
      <c r="D68" s="19"/>
      <c r="L68" s="20"/>
    </row>
    <row r="69" spans="1:12">
      <c r="A69" s="28" t="s">
        <v>55</v>
      </c>
      <c r="B69" s="28" t="s">
        <v>52</v>
      </c>
      <c r="C69" s="21">
        <v>362</v>
      </c>
      <c r="D69" s="19"/>
      <c r="L69" s="20"/>
    </row>
    <row r="70" spans="1:12">
      <c r="A70" s="28" t="s">
        <v>57</v>
      </c>
      <c r="B70" s="28" t="s">
        <v>46</v>
      </c>
      <c r="C70" s="21">
        <v>394</v>
      </c>
      <c r="D70" s="19"/>
      <c r="L70" s="20"/>
    </row>
    <row r="71" spans="1:12">
      <c r="A71" s="28" t="s">
        <v>59</v>
      </c>
      <c r="B71" s="28" t="s">
        <v>18</v>
      </c>
      <c r="C71" s="21">
        <v>417</v>
      </c>
      <c r="D71" s="19"/>
      <c r="L71" s="20"/>
    </row>
    <row r="72" spans="1:12">
      <c r="A72" s="28" t="s">
        <v>61</v>
      </c>
      <c r="B72" s="28" t="s">
        <v>92</v>
      </c>
      <c r="C72" s="21">
        <v>454</v>
      </c>
      <c r="D72" s="19"/>
      <c r="L72" s="20"/>
    </row>
    <row r="73" spans="1:12">
      <c r="A73" s="28" t="s">
        <v>63</v>
      </c>
      <c r="B73" s="28" t="s">
        <v>42</v>
      </c>
      <c r="C73" s="21">
        <v>479</v>
      </c>
      <c r="D73" s="19"/>
      <c r="L73" s="20"/>
    </row>
    <row r="74" spans="1:12">
      <c r="A74" s="28" t="s">
        <v>65</v>
      </c>
      <c r="B74" s="28" t="s">
        <v>32</v>
      </c>
      <c r="C74" s="21">
        <v>486</v>
      </c>
      <c r="D74" s="19"/>
      <c r="L74" s="20"/>
    </row>
    <row r="75" spans="1:12">
      <c r="A75" s="28" t="s">
        <v>67</v>
      </c>
      <c r="B75" s="28" t="s">
        <v>91</v>
      </c>
      <c r="C75" s="21">
        <v>518</v>
      </c>
      <c r="D75" s="19"/>
      <c r="L75" s="20"/>
    </row>
    <row r="76" spans="1:12">
      <c r="A76" s="28" t="s">
        <v>69</v>
      </c>
      <c r="B76" s="28" t="s">
        <v>16</v>
      </c>
      <c r="C76" s="21">
        <v>537</v>
      </c>
      <c r="D76" s="19"/>
      <c r="L76" s="20"/>
    </row>
    <row r="77" spans="1:12">
      <c r="A77" s="28" t="s">
        <v>71</v>
      </c>
      <c r="B77" s="28" t="s">
        <v>66</v>
      </c>
      <c r="C77" s="21">
        <v>613</v>
      </c>
      <c r="D77" s="19"/>
      <c r="L77" s="20"/>
    </row>
    <row r="78" spans="1:12">
      <c r="A78" s="28" t="s">
        <v>73</v>
      </c>
      <c r="B78" s="28" t="s">
        <v>48</v>
      </c>
      <c r="C78" s="21">
        <v>617</v>
      </c>
      <c r="D78" s="19"/>
      <c r="L78" s="20"/>
    </row>
    <row r="79" spans="1:12">
      <c r="A79" s="28" t="s">
        <v>75</v>
      </c>
      <c r="B79" s="28" t="s">
        <v>68</v>
      </c>
      <c r="C79" s="21">
        <v>984</v>
      </c>
      <c r="D79" s="19"/>
      <c r="L79" s="20"/>
    </row>
    <row r="80" spans="1:12">
      <c r="A80" s="28" t="s">
        <v>77</v>
      </c>
      <c r="B80" s="36" t="s">
        <v>60</v>
      </c>
      <c r="C80" s="22">
        <v>2359</v>
      </c>
      <c r="D80" s="19"/>
      <c r="L80" s="20"/>
    </row>
    <row r="81" spans="1:12">
      <c r="A81" s="23" t="s">
        <v>79</v>
      </c>
      <c r="B81" s="24" t="s">
        <v>94</v>
      </c>
      <c r="C81" s="14">
        <v>395</v>
      </c>
      <c r="E81" s="17" t="s">
        <v>82</v>
      </c>
      <c r="L81" s="20"/>
    </row>
    <row r="82" spans="1:12">
      <c r="A82" s="51"/>
      <c r="B82" s="52" t="s">
        <v>81</v>
      </c>
      <c r="C82" s="61">
        <f>SUM(C46:C81)</f>
        <v>12745</v>
      </c>
      <c r="D82" s="19"/>
    </row>
    <row r="83" spans="1:12">
      <c r="A83" s="17" t="s">
        <v>82</v>
      </c>
      <c r="B83" s="17"/>
    </row>
    <row r="85" spans="1:12" hidden="1"/>
    <row r="86" spans="1:12" ht="18.75">
      <c r="A86" s="4" t="s">
        <v>85</v>
      </c>
    </row>
    <row r="87" spans="1:12" ht="30">
      <c r="A87" s="44" t="s">
        <v>4</v>
      </c>
      <c r="B87" s="45" t="s">
        <v>84</v>
      </c>
      <c r="C87" s="44" t="s">
        <v>8</v>
      </c>
    </row>
    <row r="88" spans="1:12">
      <c r="A88" s="25" t="s">
        <v>9</v>
      </c>
      <c r="B88" s="34" t="s">
        <v>12</v>
      </c>
      <c r="C88" s="26">
        <v>11.479086950785065</v>
      </c>
      <c r="D88" s="27"/>
    </row>
    <row r="89" spans="1:12">
      <c r="A89" s="28" t="s">
        <v>11</v>
      </c>
      <c r="B89" s="35" t="s">
        <v>72</v>
      </c>
      <c r="C89" s="29">
        <v>12.414897877452942</v>
      </c>
      <c r="D89" s="27"/>
    </row>
    <row r="90" spans="1:12">
      <c r="A90" s="28" t="s">
        <v>13</v>
      </c>
      <c r="B90" s="35" t="s">
        <v>64</v>
      </c>
      <c r="C90" s="29">
        <v>15.403128760529482</v>
      </c>
      <c r="D90" s="27"/>
    </row>
    <row r="91" spans="1:12">
      <c r="A91" s="28" t="s">
        <v>15</v>
      </c>
      <c r="B91" s="35" t="s">
        <v>74</v>
      </c>
      <c r="C91" s="29">
        <v>15.834348355663822</v>
      </c>
      <c r="D91" s="27"/>
    </row>
    <row r="92" spans="1:12">
      <c r="A92" s="28" t="s">
        <v>17</v>
      </c>
      <c r="B92" s="35" t="s">
        <v>58</v>
      </c>
      <c r="C92" s="29">
        <v>15.983725661145014</v>
      </c>
      <c r="D92" s="27"/>
    </row>
    <row r="93" spans="1:12">
      <c r="A93" s="28" t="s">
        <v>19</v>
      </c>
      <c r="B93" s="35" t="s">
        <v>56</v>
      </c>
      <c r="C93" s="29">
        <v>16.24680540343191</v>
      </c>
      <c r="D93" s="27"/>
    </row>
    <row r="94" spans="1:12">
      <c r="A94" s="28" t="s">
        <v>21</v>
      </c>
      <c r="B94" s="35" t="s">
        <v>92</v>
      </c>
      <c r="C94" s="29">
        <v>16.371569723414229</v>
      </c>
      <c r="D94" s="27"/>
    </row>
    <row r="95" spans="1:12">
      <c r="A95" s="28" t="s">
        <v>23</v>
      </c>
      <c r="B95" s="35" t="s">
        <v>16</v>
      </c>
      <c r="C95" s="29">
        <v>16.729493130627123</v>
      </c>
      <c r="D95" s="27"/>
    </row>
    <row r="96" spans="1:12">
      <c r="A96" s="28" t="s">
        <v>25</v>
      </c>
      <c r="B96" s="35" t="s">
        <v>90</v>
      </c>
      <c r="C96" s="29">
        <v>16.790316282702069</v>
      </c>
      <c r="D96" s="27"/>
    </row>
    <row r="97" spans="1:4">
      <c r="A97" s="28" t="s">
        <v>27</v>
      </c>
      <c r="B97" s="35" t="s">
        <v>42</v>
      </c>
      <c r="C97" s="29">
        <v>17.421349336242955</v>
      </c>
      <c r="D97" s="27"/>
    </row>
    <row r="98" spans="1:4">
      <c r="A98" s="28" t="s">
        <v>29</v>
      </c>
      <c r="B98" s="35" t="s">
        <v>76</v>
      </c>
      <c r="C98" s="29">
        <v>19.054178145087235</v>
      </c>
      <c r="D98" s="27"/>
    </row>
    <row r="99" spans="1:4">
      <c r="A99" s="28" t="s">
        <v>31</v>
      </c>
      <c r="B99" s="35" t="s">
        <v>18</v>
      </c>
      <c r="C99" s="29">
        <v>20.746268656716421</v>
      </c>
      <c r="D99" s="27"/>
    </row>
    <row r="100" spans="1:4">
      <c r="A100" s="10" t="s">
        <v>33</v>
      </c>
      <c r="B100" s="35" t="s">
        <v>20</v>
      </c>
      <c r="C100" s="29">
        <v>20.759133000915842</v>
      </c>
      <c r="D100" s="27"/>
    </row>
    <row r="101" spans="1:4">
      <c r="A101" s="28" t="s">
        <v>35</v>
      </c>
      <c r="B101" s="35" t="s">
        <v>93</v>
      </c>
      <c r="C101" s="29">
        <v>20.777604976671849</v>
      </c>
      <c r="D101" s="27"/>
    </row>
    <row r="102" spans="1:4">
      <c r="A102" s="28" t="s">
        <v>37</v>
      </c>
      <c r="B102" s="35" t="s">
        <v>40</v>
      </c>
      <c r="C102" s="29">
        <v>20.789375698150675</v>
      </c>
      <c r="D102" s="27"/>
    </row>
    <row r="103" spans="1:4">
      <c r="A103" s="28" t="s">
        <v>39</v>
      </c>
      <c r="B103" s="35" t="s">
        <v>14</v>
      </c>
      <c r="C103" s="29">
        <v>22.772940388479569</v>
      </c>
      <c r="D103" s="27"/>
    </row>
    <row r="104" spans="1:4">
      <c r="A104" s="28" t="s">
        <v>41</v>
      </c>
      <c r="B104" s="35" t="s">
        <v>48</v>
      </c>
      <c r="C104" s="29">
        <v>22.839163427725335</v>
      </c>
      <c r="D104" s="27"/>
    </row>
    <row r="105" spans="1:4">
      <c r="A105" s="28" t="s">
        <v>43</v>
      </c>
      <c r="B105" s="35" t="s">
        <v>30</v>
      </c>
      <c r="C105" s="29">
        <v>24.709766748322505</v>
      </c>
      <c r="D105" s="27"/>
    </row>
    <row r="106" spans="1:4">
      <c r="A106" s="28" t="s">
        <v>45</v>
      </c>
      <c r="B106" s="35" t="s">
        <v>46</v>
      </c>
      <c r="C106" s="29">
        <v>25.834371516621861</v>
      </c>
      <c r="D106" s="27"/>
    </row>
    <row r="107" spans="1:4">
      <c r="A107" s="28" t="s">
        <v>47</v>
      </c>
      <c r="B107" s="35" t="s">
        <v>54</v>
      </c>
      <c r="C107" s="29">
        <v>26.247724877861863</v>
      </c>
      <c r="D107" s="27"/>
    </row>
    <row r="108" spans="1:4">
      <c r="A108" s="28" t="s">
        <v>49</v>
      </c>
      <c r="B108" s="35" t="s">
        <v>66</v>
      </c>
      <c r="C108" s="29">
        <v>27.081952728075986</v>
      </c>
      <c r="D108" s="27"/>
    </row>
    <row r="109" spans="1:4">
      <c r="A109" s="28" t="s">
        <v>51</v>
      </c>
      <c r="B109" s="35" t="s">
        <v>52</v>
      </c>
      <c r="C109" s="29">
        <v>28.383252312999844</v>
      </c>
      <c r="D109" s="27"/>
    </row>
    <row r="110" spans="1:4">
      <c r="A110" s="28" t="s">
        <v>53</v>
      </c>
      <c r="B110" s="35" t="s">
        <v>32</v>
      </c>
      <c r="C110" s="29">
        <v>31.942162339796258</v>
      </c>
      <c r="D110" s="27"/>
    </row>
    <row r="111" spans="1:4">
      <c r="A111" s="28" t="s">
        <v>55</v>
      </c>
      <c r="B111" s="35" t="s">
        <v>70</v>
      </c>
      <c r="C111" s="29">
        <v>33.822208919485185</v>
      </c>
      <c r="D111" s="27"/>
    </row>
    <row r="112" spans="1:4">
      <c r="A112" s="28" t="s">
        <v>57</v>
      </c>
      <c r="B112" s="35" t="s">
        <v>26</v>
      </c>
      <c r="C112" s="29">
        <v>35.143769968051117</v>
      </c>
      <c r="D112" s="27"/>
    </row>
    <row r="113" spans="1:5">
      <c r="A113" s="28" t="s">
        <v>59</v>
      </c>
      <c r="B113" s="35" t="s">
        <v>89</v>
      </c>
      <c r="C113" s="29">
        <v>36.184210526315788</v>
      </c>
      <c r="D113" s="27"/>
    </row>
    <row r="114" spans="1:5">
      <c r="A114" s="28" t="s">
        <v>61</v>
      </c>
      <c r="B114" s="35" t="s">
        <v>10</v>
      </c>
      <c r="C114" s="29">
        <v>36.979627989371124</v>
      </c>
      <c r="D114" s="27"/>
    </row>
    <row r="115" spans="1:5">
      <c r="A115" s="28" t="s">
        <v>63</v>
      </c>
      <c r="B115" s="35" t="s">
        <v>91</v>
      </c>
      <c r="C115" s="29">
        <v>37.295701634386923</v>
      </c>
      <c r="D115" s="27"/>
    </row>
    <row r="116" spans="1:5">
      <c r="A116" s="28" t="s">
        <v>65</v>
      </c>
      <c r="B116" s="35" t="s">
        <v>34</v>
      </c>
      <c r="C116" s="29">
        <v>38.372477671187561</v>
      </c>
      <c r="D116" s="27"/>
    </row>
    <row r="117" spans="1:5">
      <c r="A117" s="28" t="s">
        <v>67</v>
      </c>
      <c r="B117" s="35" t="s">
        <v>44</v>
      </c>
      <c r="C117" s="29">
        <v>42.986425339366512</v>
      </c>
      <c r="D117" s="27"/>
    </row>
    <row r="118" spans="1:5">
      <c r="A118" s="10" t="s">
        <v>69</v>
      </c>
      <c r="B118" s="27" t="s">
        <v>68</v>
      </c>
      <c r="C118" s="29">
        <v>44.698828018533661</v>
      </c>
      <c r="D118" s="27"/>
    </row>
    <row r="119" spans="1:5">
      <c r="A119" s="28" t="s">
        <v>71</v>
      </c>
      <c r="B119" s="35" t="s">
        <v>28</v>
      </c>
      <c r="C119" s="29">
        <v>50.455235204855839</v>
      </c>
      <c r="D119" s="27"/>
    </row>
    <row r="120" spans="1:5">
      <c r="A120" s="28" t="s">
        <v>73</v>
      </c>
      <c r="B120" s="35" t="s">
        <v>50</v>
      </c>
      <c r="C120" s="29">
        <v>92.057761732851986</v>
      </c>
      <c r="D120" s="27"/>
    </row>
    <row r="121" spans="1:5">
      <c r="A121" s="28" t="s">
        <v>75</v>
      </c>
      <c r="B121" s="35" t="s">
        <v>60</v>
      </c>
      <c r="C121" s="29">
        <v>93.883073984160461</v>
      </c>
      <c r="D121" s="27"/>
    </row>
    <row r="122" spans="1:5">
      <c r="A122" s="28" t="s">
        <v>77</v>
      </c>
      <c r="B122" s="35" t="s">
        <v>24</v>
      </c>
      <c r="C122" s="33">
        <v>112.85909712722298</v>
      </c>
      <c r="D122" s="27"/>
    </row>
    <row r="123" spans="1:5">
      <c r="A123" s="28"/>
      <c r="B123" s="30"/>
      <c r="C123" s="32"/>
      <c r="D123" s="27"/>
      <c r="E123" s="17" t="s">
        <v>82</v>
      </c>
    </row>
    <row r="124" spans="1:5">
      <c r="A124" s="51"/>
      <c r="B124" s="53" t="s">
        <v>81</v>
      </c>
      <c r="C124" s="53">
        <v>31.098182281336996</v>
      </c>
      <c r="D124" s="19"/>
    </row>
    <row r="125" spans="1:5">
      <c r="A125" s="17" t="s">
        <v>82</v>
      </c>
    </row>
  </sheetData>
  <dataConsolidate/>
  <conditionalFormatting sqref="D124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8:D123">
    <cfRule type="colorScale" priority="20">
      <colorScale>
        <cfvo type="min"/>
        <cfvo type="percentile" val="50"/>
        <cfvo type="max"/>
        <color theme="3" tint="9.9978637043366805E-2"/>
        <color theme="3" tint="0.89999084444715716"/>
        <color rgb="FFFF0000"/>
      </colorScale>
    </cfRule>
  </conditionalFormatting>
  <conditionalFormatting sqref="D82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6:D80">
    <cfRule type="colorScale" priority="17">
      <colorScale>
        <cfvo type="min"/>
        <cfvo type="percentile" val="50"/>
        <cfvo type="max"/>
        <color theme="3" tint="0.249977111117893"/>
        <color theme="3" tint="0.89999084444715716"/>
        <color rgb="FFFF0000"/>
      </colorScale>
    </cfRule>
  </conditionalFormatting>
  <hyperlinks>
    <hyperlink ref="A3:B3" location="UWAGA!A1" display="UWAGA: wyjaśnienia metodologiczne" xr:uid="{00000000-0004-0000-0100-000000000000}"/>
  </hyperlinks>
  <pageMargins left="0.31496062992125984" right="0.31496062992125984" top="0.74803149606299213" bottom="0.74803149606299213" header="0.31496062992125984" footer="0.31496062992125984"/>
  <pageSetup paperSize="9" scale="49" orientation="landscape" r:id="rId1"/>
  <headerFooter>
    <oddHeader>&amp;LGDAŃSK W LICZBACH / BEZPIECZEŃSTWO
&amp;F&amp;R&amp;D</oddHeader>
    <oddFooter>&amp;L&amp;"-,Kursywa"&amp;8Opracowanie: Referat Badań i Analiz Społeczno-Gospodarczych, WPG, UMG&amp;R&amp;"-,Kursywa"&amp;8www.gdansk.pl/gdanskwliczbach</oddFooter>
  </headerFooter>
  <rowBreaks count="2" manualBreakCount="2">
    <brk id="42" max="16383" man="1"/>
    <brk id="83" max="1638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9"/>
  <sheetViews>
    <sheetView showGridLines="0" topLeftCell="A10" zoomScale="90" zoomScaleNormal="90" workbookViewId="0"/>
  </sheetViews>
  <sheetFormatPr defaultColWidth="43" defaultRowHeight="15"/>
  <cols>
    <col min="1" max="1" width="3.5703125" style="5" customWidth="1"/>
    <col min="2" max="2" width="56.85546875" style="5" customWidth="1"/>
    <col min="3" max="3" width="32.28515625" style="5" customWidth="1"/>
    <col min="4" max="4" width="18.85546875" style="5" customWidth="1"/>
    <col min="5" max="5" width="25.42578125" style="5" customWidth="1"/>
    <col min="6" max="6" width="20.28515625" style="5" customWidth="1"/>
    <col min="7" max="7" width="18.85546875" style="5" customWidth="1"/>
    <col min="8" max="8" width="28.140625" style="5" customWidth="1"/>
    <col min="9" max="9" width="26.85546875" style="5" customWidth="1"/>
    <col min="10" max="10" width="19.28515625" style="5" customWidth="1"/>
    <col min="11" max="11" width="22.28515625" style="5" customWidth="1"/>
    <col min="12" max="12" width="18" style="5" customWidth="1"/>
    <col min="13" max="13" width="17.28515625" style="5" customWidth="1"/>
    <col min="14" max="14" width="16.85546875" style="5" customWidth="1"/>
    <col min="15" max="15" width="20" style="5" customWidth="1"/>
    <col min="16" max="16" width="14.7109375" style="5" customWidth="1"/>
    <col min="17" max="17" width="16.7109375" style="5" customWidth="1"/>
    <col min="18" max="18" width="15.85546875" style="5" customWidth="1"/>
    <col min="19" max="19" width="17.140625" style="5" customWidth="1"/>
    <col min="20" max="20" width="19.5703125" style="5" customWidth="1"/>
    <col min="21" max="21" width="17.28515625" style="5" customWidth="1"/>
    <col min="22" max="22" width="17.5703125" style="5" customWidth="1"/>
    <col min="23" max="23" width="14.5703125" style="5" customWidth="1"/>
    <col min="24" max="24" width="13.7109375" style="5" customWidth="1"/>
    <col min="25" max="25" width="14.140625" style="5" customWidth="1"/>
    <col min="26" max="26" width="15.28515625" style="5" customWidth="1"/>
    <col min="27" max="242" width="9.140625" style="5" customWidth="1"/>
    <col min="243" max="16384" width="43" style="5"/>
  </cols>
  <sheetData>
    <row r="1" spans="1:11" customFormat="1" ht="3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8.75">
      <c r="A2" s="4" t="s">
        <v>2</v>
      </c>
    </row>
    <row r="3" spans="1:11" ht="15.75">
      <c r="A3" s="54" t="s">
        <v>3</v>
      </c>
      <c r="B3" s="55"/>
      <c r="C3" s="56"/>
      <c r="D3" s="56"/>
      <c r="E3" s="56"/>
    </row>
    <row r="4" spans="1:11" ht="33.6" customHeight="1">
      <c r="A4" s="44" t="s">
        <v>4</v>
      </c>
      <c r="B4" s="44" t="s">
        <v>5</v>
      </c>
      <c r="C4" s="44" t="s">
        <v>95</v>
      </c>
      <c r="D4" s="44" t="s">
        <v>96</v>
      </c>
      <c r="E4" s="44" t="s">
        <v>97</v>
      </c>
    </row>
    <row r="5" spans="1:11">
      <c r="A5" s="7" t="s">
        <v>9</v>
      </c>
      <c r="B5" s="6" t="s">
        <v>10</v>
      </c>
      <c r="C5" s="8">
        <v>147</v>
      </c>
      <c r="D5" s="8">
        <v>4417</v>
      </c>
      <c r="E5" s="42">
        <f t="shared" ref="E5:E39" si="0">C5/D5*1000</f>
        <v>33.280507131537242</v>
      </c>
      <c r="F5" s="27"/>
      <c r="G5" s="9"/>
      <c r="H5" s="19"/>
      <c r="I5" s="19"/>
    </row>
    <row r="6" spans="1:11">
      <c r="A6" s="7" t="s">
        <v>11</v>
      </c>
      <c r="B6" s="6" t="s">
        <v>12</v>
      </c>
      <c r="C6" s="8">
        <v>105</v>
      </c>
      <c r="D6" s="8">
        <v>7529</v>
      </c>
      <c r="E6" s="42">
        <f t="shared" si="0"/>
        <v>13.946075175986186</v>
      </c>
      <c r="F6" s="27"/>
      <c r="H6" s="19"/>
      <c r="I6" s="19"/>
    </row>
    <row r="7" spans="1:11" ht="15" customHeight="1">
      <c r="A7" s="7" t="s">
        <v>13</v>
      </c>
      <c r="B7" s="6" t="s">
        <v>14</v>
      </c>
      <c r="C7" s="8">
        <v>269</v>
      </c>
      <c r="D7" s="8">
        <v>11470</v>
      </c>
      <c r="E7" s="42">
        <f t="shared" si="0"/>
        <v>23.452484742807322</v>
      </c>
      <c r="F7" s="27"/>
      <c r="G7" s="11"/>
      <c r="H7" s="19"/>
      <c r="I7" s="19"/>
    </row>
    <row r="8" spans="1:11">
      <c r="A8" s="7" t="s">
        <v>15</v>
      </c>
      <c r="B8" s="6" t="s">
        <v>16</v>
      </c>
      <c r="C8" s="8">
        <v>447</v>
      </c>
      <c r="D8" s="8">
        <v>31450</v>
      </c>
      <c r="E8" s="42">
        <f t="shared" si="0"/>
        <v>14.213036565977742</v>
      </c>
      <c r="F8" s="27"/>
      <c r="G8" s="11"/>
      <c r="H8" s="19"/>
      <c r="I8" s="19"/>
    </row>
    <row r="9" spans="1:11">
      <c r="A9" s="7" t="s">
        <v>17</v>
      </c>
      <c r="B9" s="6" t="s">
        <v>18</v>
      </c>
      <c r="C9" s="8">
        <v>443</v>
      </c>
      <c r="D9" s="8">
        <v>22242</v>
      </c>
      <c r="E9" s="42">
        <f t="shared" si="0"/>
        <v>19.91727362647244</v>
      </c>
      <c r="F9" s="27"/>
      <c r="G9" s="11"/>
      <c r="H9" s="19"/>
      <c r="I9" s="19"/>
    </row>
    <row r="10" spans="1:11">
      <c r="A10" s="7" t="s">
        <v>19</v>
      </c>
      <c r="B10" s="6" t="s">
        <v>20</v>
      </c>
      <c r="C10" s="8">
        <v>212</v>
      </c>
      <c r="D10" s="8">
        <v>10029</v>
      </c>
      <c r="E10" s="42">
        <f t="shared" si="0"/>
        <v>21.1386977764483</v>
      </c>
      <c r="F10" s="27"/>
      <c r="G10" s="11"/>
      <c r="H10" s="19"/>
      <c r="I10" s="19"/>
    </row>
    <row r="11" spans="1:11">
      <c r="A11" s="7" t="s">
        <v>21</v>
      </c>
      <c r="B11" s="6" t="s">
        <v>22</v>
      </c>
      <c r="C11" s="8">
        <v>52</v>
      </c>
      <c r="D11" s="8">
        <v>1735</v>
      </c>
      <c r="E11" s="42">
        <f t="shared" si="0"/>
        <v>29.971181556195965</v>
      </c>
      <c r="F11" s="27"/>
      <c r="G11" s="11"/>
      <c r="H11" s="19"/>
      <c r="I11" s="19"/>
    </row>
    <row r="12" spans="1:11">
      <c r="A12" s="7" t="s">
        <v>23</v>
      </c>
      <c r="B12" s="6" t="s">
        <v>24</v>
      </c>
      <c r="C12" s="8">
        <v>183</v>
      </c>
      <c r="D12" s="8">
        <v>1822</v>
      </c>
      <c r="E12" s="42">
        <f t="shared" si="0"/>
        <v>100.43907793633369</v>
      </c>
      <c r="F12" s="27"/>
      <c r="G12" s="11"/>
      <c r="H12" s="19"/>
      <c r="I12" s="19"/>
    </row>
    <row r="13" spans="1:11">
      <c r="A13" s="7" t="s">
        <v>25</v>
      </c>
      <c r="B13" s="6" t="s">
        <v>26</v>
      </c>
      <c r="C13" s="8">
        <v>191</v>
      </c>
      <c r="D13" s="8">
        <v>6026</v>
      </c>
      <c r="E13" s="42">
        <f t="shared" si="0"/>
        <v>31.695984069034186</v>
      </c>
      <c r="F13" s="27"/>
      <c r="G13" s="11"/>
      <c r="H13" s="19"/>
      <c r="I13" s="19"/>
    </row>
    <row r="14" spans="1:11">
      <c r="A14" s="7" t="s">
        <v>27</v>
      </c>
      <c r="B14" s="6" t="s">
        <v>28</v>
      </c>
      <c r="C14" s="8">
        <v>120</v>
      </c>
      <c r="D14" s="8">
        <v>2419</v>
      </c>
      <c r="E14" s="42">
        <f t="shared" si="0"/>
        <v>49.607275733774287</v>
      </c>
      <c r="F14" s="27"/>
      <c r="G14" s="11"/>
      <c r="H14" s="19"/>
      <c r="I14" s="19"/>
    </row>
    <row r="15" spans="1:11">
      <c r="A15" s="7" t="s">
        <v>29</v>
      </c>
      <c r="B15" s="6" t="s">
        <v>30</v>
      </c>
      <c r="C15" s="8">
        <v>226</v>
      </c>
      <c r="D15" s="8">
        <v>8896</v>
      </c>
      <c r="E15" s="42">
        <f t="shared" si="0"/>
        <v>25.404676258992808</v>
      </c>
      <c r="F15" s="27"/>
      <c r="G15" s="11"/>
      <c r="H15" s="19"/>
      <c r="I15" s="19"/>
    </row>
    <row r="16" spans="1:11">
      <c r="A16" s="7" t="s">
        <v>31</v>
      </c>
      <c r="B16" s="6" t="s">
        <v>32</v>
      </c>
      <c r="C16" s="8">
        <v>282</v>
      </c>
      <c r="D16" s="8">
        <v>14882</v>
      </c>
      <c r="E16" s="42">
        <f t="shared" si="0"/>
        <v>18.949065985754604</v>
      </c>
      <c r="F16" s="27"/>
      <c r="G16" s="11"/>
      <c r="H16" s="19"/>
      <c r="I16" s="19"/>
    </row>
    <row r="17" spans="1:9">
      <c r="A17" s="7" t="s">
        <v>33</v>
      </c>
      <c r="B17" s="6" t="s">
        <v>34</v>
      </c>
      <c r="C17" s="8">
        <v>105</v>
      </c>
      <c r="D17" s="8">
        <v>2927</v>
      </c>
      <c r="E17" s="42">
        <f t="shared" si="0"/>
        <v>35.872907413734204</v>
      </c>
      <c r="F17" s="27"/>
      <c r="G17" s="11"/>
      <c r="H17" s="19"/>
      <c r="I17" s="19"/>
    </row>
    <row r="18" spans="1:9">
      <c r="A18" s="7" t="s">
        <v>35</v>
      </c>
      <c r="B18" s="6" t="s">
        <v>36</v>
      </c>
      <c r="C18" s="8">
        <v>401</v>
      </c>
      <c r="D18" s="8">
        <v>21160</v>
      </c>
      <c r="E18" s="42">
        <f t="shared" si="0"/>
        <v>18.950850661625708</v>
      </c>
      <c r="F18" s="27"/>
      <c r="G18" s="11"/>
      <c r="H18" s="19"/>
      <c r="I18" s="19"/>
    </row>
    <row r="19" spans="1:9">
      <c r="A19" s="7" t="s">
        <v>37</v>
      </c>
      <c r="B19" s="6" t="s">
        <v>38</v>
      </c>
      <c r="C19" s="8">
        <v>501</v>
      </c>
      <c r="D19" s="8">
        <v>13224</v>
      </c>
      <c r="E19" s="42">
        <f t="shared" si="0"/>
        <v>37.885662431941924</v>
      </c>
      <c r="F19" s="27"/>
      <c r="G19" s="11"/>
      <c r="H19" s="19"/>
      <c r="I19" s="19"/>
    </row>
    <row r="20" spans="1:9">
      <c r="A20" s="7" t="s">
        <v>39</v>
      </c>
      <c r="B20" s="6" t="s">
        <v>40</v>
      </c>
      <c r="C20" s="8">
        <v>355</v>
      </c>
      <c r="D20" s="8">
        <v>16182</v>
      </c>
      <c r="E20" s="42">
        <f t="shared" si="0"/>
        <v>21.937955753306142</v>
      </c>
      <c r="F20" s="27"/>
      <c r="G20" s="11"/>
      <c r="H20" s="19"/>
      <c r="I20" s="19"/>
    </row>
    <row r="21" spans="1:9">
      <c r="A21" s="7" t="s">
        <v>41</v>
      </c>
      <c r="B21" s="6" t="s">
        <v>42</v>
      </c>
      <c r="C21" s="8">
        <v>303</v>
      </c>
      <c r="D21" s="8">
        <v>27616</v>
      </c>
      <c r="E21" s="42">
        <f t="shared" si="0"/>
        <v>10.971900347624565</v>
      </c>
      <c r="F21" s="27"/>
      <c r="G21" s="11"/>
      <c r="H21" s="19"/>
      <c r="I21" s="19"/>
    </row>
    <row r="22" spans="1:9">
      <c r="A22" s="7" t="s">
        <v>43</v>
      </c>
      <c r="B22" s="6" t="s">
        <v>44</v>
      </c>
      <c r="C22" s="8">
        <v>149</v>
      </c>
      <c r="D22" s="8">
        <v>3750</v>
      </c>
      <c r="E22" s="42">
        <f t="shared" si="0"/>
        <v>39.733333333333334</v>
      </c>
      <c r="F22" s="27"/>
      <c r="G22" s="11"/>
      <c r="H22" s="19"/>
      <c r="I22" s="19"/>
    </row>
    <row r="23" spans="1:9">
      <c r="A23" s="7" t="s">
        <v>45</v>
      </c>
      <c r="B23" s="6" t="s">
        <v>46</v>
      </c>
      <c r="C23" s="8">
        <v>479</v>
      </c>
      <c r="D23" s="8">
        <v>15379</v>
      </c>
      <c r="E23" s="42">
        <f t="shared" si="0"/>
        <v>31.146368424474936</v>
      </c>
      <c r="F23" s="27"/>
      <c r="G23" s="11"/>
      <c r="H23" s="19"/>
      <c r="I23" s="19"/>
    </row>
    <row r="24" spans="1:9">
      <c r="A24" s="7" t="s">
        <v>47</v>
      </c>
      <c r="B24" s="6" t="s">
        <v>48</v>
      </c>
      <c r="C24" s="8">
        <v>510</v>
      </c>
      <c r="D24" s="8">
        <v>25650</v>
      </c>
      <c r="E24" s="42">
        <f t="shared" si="0"/>
        <v>19.883040935672515</v>
      </c>
      <c r="F24" s="27"/>
      <c r="G24" s="11"/>
      <c r="H24" s="19"/>
      <c r="I24" s="19"/>
    </row>
    <row r="25" spans="1:9">
      <c r="A25" s="7" t="s">
        <v>49</v>
      </c>
      <c r="B25" s="6" t="s">
        <v>50</v>
      </c>
      <c r="C25" s="8">
        <v>125</v>
      </c>
      <c r="D25" s="8">
        <v>1027</v>
      </c>
      <c r="E25" s="42">
        <f t="shared" si="0"/>
        <v>121.71372930866602</v>
      </c>
      <c r="F25" s="27"/>
      <c r="G25" s="11"/>
      <c r="H25" s="19"/>
      <c r="I25" s="19"/>
    </row>
    <row r="26" spans="1:9">
      <c r="A26" s="7" t="s">
        <v>51</v>
      </c>
      <c r="B26" s="6" t="s">
        <v>52</v>
      </c>
      <c r="C26" s="8">
        <v>305</v>
      </c>
      <c r="D26" s="8">
        <v>12280</v>
      </c>
      <c r="E26" s="42">
        <f t="shared" si="0"/>
        <v>24.837133550488598</v>
      </c>
      <c r="F26" s="27"/>
      <c r="G26" s="11"/>
      <c r="H26" s="19"/>
      <c r="I26" s="19"/>
    </row>
    <row r="27" spans="1:9">
      <c r="A27" s="7" t="s">
        <v>53</v>
      </c>
      <c r="B27" s="6" t="s">
        <v>54</v>
      </c>
      <c r="C27" s="8">
        <v>178</v>
      </c>
      <c r="D27" s="8">
        <v>9832</v>
      </c>
      <c r="E27" s="42">
        <f t="shared" si="0"/>
        <v>18.104149715215623</v>
      </c>
      <c r="F27" s="27"/>
      <c r="G27" s="11"/>
      <c r="H27" s="19"/>
      <c r="I27" s="19"/>
    </row>
    <row r="28" spans="1:9">
      <c r="A28" s="7" t="s">
        <v>55</v>
      </c>
      <c r="B28" s="6" t="s">
        <v>56</v>
      </c>
      <c r="C28" s="8">
        <v>94</v>
      </c>
      <c r="D28" s="8">
        <v>5209</v>
      </c>
      <c r="E28" s="42">
        <f t="shared" si="0"/>
        <v>18.045690151660587</v>
      </c>
      <c r="F28" s="27"/>
      <c r="H28" s="19"/>
      <c r="I28" s="19"/>
    </row>
    <row r="29" spans="1:9">
      <c r="A29" s="7" t="s">
        <v>57</v>
      </c>
      <c r="B29" s="6" t="s">
        <v>58</v>
      </c>
      <c r="C29" s="8">
        <v>178</v>
      </c>
      <c r="D29" s="8">
        <v>9977</v>
      </c>
      <c r="E29" s="42">
        <f t="shared" si="0"/>
        <v>17.841034379071868</v>
      </c>
      <c r="F29" s="27"/>
      <c r="H29" s="19"/>
      <c r="I29" s="19"/>
    </row>
    <row r="30" spans="1:9">
      <c r="A30" s="7" t="s">
        <v>59</v>
      </c>
      <c r="B30" s="6" t="s">
        <v>60</v>
      </c>
      <c r="C30" s="8">
        <v>1534</v>
      </c>
      <c r="D30" s="8">
        <v>24393</v>
      </c>
      <c r="E30" s="42">
        <f t="shared" si="0"/>
        <v>62.886893781002748</v>
      </c>
      <c r="F30" s="27"/>
      <c r="H30" s="19"/>
      <c r="I30" s="19"/>
    </row>
    <row r="31" spans="1:9">
      <c r="A31" s="7" t="s">
        <v>61</v>
      </c>
      <c r="B31" s="6" t="s">
        <v>62</v>
      </c>
      <c r="C31" s="8">
        <v>442</v>
      </c>
      <c r="D31" s="8">
        <v>28815</v>
      </c>
      <c r="E31" s="42">
        <f t="shared" si="0"/>
        <v>15.339233038348082</v>
      </c>
      <c r="F31" s="27"/>
      <c r="H31" s="19"/>
      <c r="I31" s="19"/>
    </row>
    <row r="32" spans="1:9">
      <c r="A32" s="7" t="s">
        <v>63</v>
      </c>
      <c r="B32" s="6" t="s">
        <v>64</v>
      </c>
      <c r="C32" s="8">
        <v>54</v>
      </c>
      <c r="D32" s="8">
        <v>3560</v>
      </c>
      <c r="E32" s="42">
        <f t="shared" si="0"/>
        <v>15.168539325842696</v>
      </c>
      <c r="F32" s="27"/>
      <c r="H32" s="19"/>
      <c r="I32" s="19"/>
    </row>
    <row r="33" spans="1:12">
      <c r="A33" s="7" t="s">
        <v>65</v>
      </c>
      <c r="B33" s="6" t="s">
        <v>66</v>
      </c>
      <c r="C33" s="8">
        <v>681</v>
      </c>
      <c r="D33" s="8">
        <v>22047</v>
      </c>
      <c r="E33" s="42">
        <f t="shared" si="0"/>
        <v>30.888556266158663</v>
      </c>
      <c r="F33" s="27"/>
      <c r="H33" s="19"/>
      <c r="I33" s="19"/>
    </row>
    <row r="34" spans="1:12">
      <c r="A34" s="7" t="s">
        <v>67</v>
      </c>
      <c r="B34" s="6" t="s">
        <v>68</v>
      </c>
      <c r="C34" s="8">
        <v>615</v>
      </c>
      <c r="D34" s="8">
        <v>21383</v>
      </c>
      <c r="E34" s="42">
        <f t="shared" si="0"/>
        <v>28.761165411775711</v>
      </c>
      <c r="F34" s="27"/>
      <c r="H34" s="19"/>
      <c r="I34" s="19"/>
    </row>
    <row r="35" spans="1:12">
      <c r="A35" s="7" t="s">
        <v>69</v>
      </c>
      <c r="B35" s="6" t="s">
        <v>70</v>
      </c>
      <c r="C35" s="8">
        <v>72</v>
      </c>
      <c r="D35" s="8">
        <v>3281</v>
      </c>
      <c r="E35" s="42">
        <f t="shared" si="0"/>
        <v>21.94452910697958</v>
      </c>
      <c r="F35" s="27"/>
      <c r="H35" s="19"/>
      <c r="I35" s="19"/>
    </row>
    <row r="36" spans="1:12">
      <c r="A36" s="7" t="s">
        <v>71</v>
      </c>
      <c r="B36" s="6" t="s">
        <v>72</v>
      </c>
      <c r="C36" s="8">
        <v>24</v>
      </c>
      <c r="D36" s="8">
        <v>2394</v>
      </c>
      <c r="E36" s="42">
        <f t="shared" si="0"/>
        <v>10.025062656641603</v>
      </c>
      <c r="F36" s="27"/>
      <c r="H36" s="19"/>
      <c r="I36" s="19"/>
    </row>
    <row r="37" spans="1:12">
      <c r="A37" s="7" t="s">
        <v>73</v>
      </c>
      <c r="B37" s="6" t="s">
        <v>74</v>
      </c>
      <c r="C37" s="8">
        <v>212</v>
      </c>
      <c r="D37" s="8">
        <v>12723</v>
      </c>
      <c r="E37" s="42">
        <f t="shared" si="0"/>
        <v>16.662736775917629</v>
      </c>
      <c r="F37" s="27"/>
      <c r="H37" s="19"/>
      <c r="I37" s="19"/>
    </row>
    <row r="38" spans="1:12">
      <c r="A38" s="7" t="s">
        <v>75</v>
      </c>
      <c r="B38" s="6" t="s">
        <v>76</v>
      </c>
      <c r="C38" s="8">
        <v>254</v>
      </c>
      <c r="D38" s="8">
        <v>12756</v>
      </c>
      <c r="E38" s="42">
        <f t="shared" si="0"/>
        <v>19.912198181248041</v>
      </c>
      <c r="F38" s="27"/>
      <c r="H38" s="19"/>
      <c r="I38" s="19"/>
    </row>
    <row r="39" spans="1:12">
      <c r="A39" s="7" t="s">
        <v>77</v>
      </c>
      <c r="B39" s="6" t="s">
        <v>78</v>
      </c>
      <c r="C39" s="8">
        <v>354</v>
      </c>
      <c r="D39" s="8">
        <v>15265</v>
      </c>
      <c r="E39" s="42">
        <f t="shared" si="0"/>
        <v>23.190304618408121</v>
      </c>
      <c r="F39" s="27"/>
      <c r="H39" s="19"/>
      <c r="I39" s="19"/>
    </row>
    <row r="40" spans="1:12">
      <c r="A40" s="40" t="s">
        <v>79</v>
      </c>
      <c r="B40" s="13" t="s">
        <v>80</v>
      </c>
      <c r="C40" s="41">
        <v>229</v>
      </c>
      <c r="D40" s="15" t="s">
        <v>79</v>
      </c>
      <c r="E40" s="43" t="s">
        <v>79</v>
      </c>
      <c r="F40" s="9"/>
      <c r="I40" s="19"/>
    </row>
    <row r="41" spans="1:12">
      <c r="A41" s="47"/>
      <c r="B41" s="48" t="s">
        <v>81</v>
      </c>
      <c r="C41" s="49">
        <f>SUM(C5:C40)</f>
        <v>10831</v>
      </c>
      <c r="D41" s="49">
        <f>SUM(D5:D39)</f>
        <v>433747</v>
      </c>
      <c r="E41" s="50">
        <f>C41/D41*1000</f>
        <v>24.970777895870174</v>
      </c>
      <c r="F41" s="9"/>
    </row>
    <row r="42" spans="1:12">
      <c r="A42" s="17" t="s">
        <v>82</v>
      </c>
      <c r="B42" s="17"/>
    </row>
    <row r="43" spans="1:12" ht="15.75" customHeight="1"/>
    <row r="44" spans="1:12" ht="18.75">
      <c r="A44" s="4" t="s">
        <v>83</v>
      </c>
    </row>
    <row r="45" spans="1:12" ht="26.45" customHeight="1">
      <c r="A45" s="44" t="s">
        <v>4</v>
      </c>
      <c r="B45" s="45" t="s">
        <v>84</v>
      </c>
      <c r="C45" s="44" t="s">
        <v>95</v>
      </c>
    </row>
    <row r="46" spans="1:12">
      <c r="A46" s="28" t="s">
        <v>9</v>
      </c>
      <c r="B46" s="25" t="s">
        <v>72</v>
      </c>
      <c r="C46" s="18">
        <v>24</v>
      </c>
      <c r="D46" s="19"/>
      <c r="L46" s="20"/>
    </row>
    <row r="47" spans="1:12">
      <c r="A47" s="28" t="s">
        <v>11</v>
      </c>
      <c r="B47" s="28" t="s">
        <v>22</v>
      </c>
      <c r="C47" s="21">
        <v>52</v>
      </c>
      <c r="D47" s="19"/>
      <c r="L47" s="20"/>
    </row>
    <row r="48" spans="1:12">
      <c r="A48" s="28" t="s">
        <v>13</v>
      </c>
      <c r="B48" s="28" t="s">
        <v>64</v>
      </c>
      <c r="C48" s="21">
        <v>54</v>
      </c>
      <c r="D48" s="19"/>
      <c r="L48" s="20"/>
    </row>
    <row r="49" spans="1:12">
      <c r="A49" s="28" t="s">
        <v>15</v>
      </c>
      <c r="B49" s="28" t="s">
        <v>70</v>
      </c>
      <c r="C49" s="21">
        <v>72</v>
      </c>
      <c r="D49" s="19"/>
      <c r="L49" s="20"/>
    </row>
    <row r="50" spans="1:12">
      <c r="A50" s="28" t="s">
        <v>17</v>
      </c>
      <c r="B50" s="28" t="s">
        <v>56</v>
      </c>
      <c r="C50" s="21">
        <v>94</v>
      </c>
      <c r="D50" s="19"/>
      <c r="L50" s="20"/>
    </row>
    <row r="51" spans="1:12">
      <c r="A51" s="28" t="s">
        <v>19</v>
      </c>
      <c r="B51" s="28" t="s">
        <v>34</v>
      </c>
      <c r="C51" s="21">
        <v>105</v>
      </c>
      <c r="D51" s="19"/>
      <c r="L51" s="20"/>
    </row>
    <row r="52" spans="1:12">
      <c r="A52" s="28" t="s">
        <v>21</v>
      </c>
      <c r="B52" s="28" t="s">
        <v>12</v>
      </c>
      <c r="C52" s="21">
        <v>105</v>
      </c>
      <c r="D52" s="19"/>
      <c r="L52" s="20"/>
    </row>
    <row r="53" spans="1:12">
      <c r="A53" s="28" t="s">
        <v>23</v>
      </c>
      <c r="B53" s="28" t="s">
        <v>28</v>
      </c>
      <c r="C53" s="21">
        <v>120</v>
      </c>
      <c r="D53" s="19"/>
      <c r="L53" s="20"/>
    </row>
    <row r="54" spans="1:12">
      <c r="A54" s="28" t="s">
        <v>25</v>
      </c>
      <c r="B54" s="28" t="s">
        <v>50</v>
      </c>
      <c r="C54" s="21">
        <v>125</v>
      </c>
      <c r="D54" s="19"/>
      <c r="L54" s="20"/>
    </row>
    <row r="55" spans="1:12">
      <c r="A55" s="28" t="s">
        <v>27</v>
      </c>
      <c r="B55" s="28" t="s">
        <v>10</v>
      </c>
      <c r="C55" s="21">
        <v>147</v>
      </c>
      <c r="D55" s="19"/>
      <c r="L55" s="20"/>
    </row>
    <row r="56" spans="1:12">
      <c r="A56" s="28" t="s">
        <v>29</v>
      </c>
      <c r="B56" s="28" t="s">
        <v>44</v>
      </c>
      <c r="C56" s="21">
        <v>149</v>
      </c>
      <c r="D56" s="19"/>
      <c r="L56" s="20"/>
    </row>
    <row r="57" spans="1:12">
      <c r="A57" s="28" t="s">
        <v>31</v>
      </c>
      <c r="B57" s="28" t="s">
        <v>58</v>
      </c>
      <c r="C57" s="21">
        <v>178</v>
      </c>
      <c r="D57" s="19"/>
      <c r="L57" s="20"/>
    </row>
    <row r="58" spans="1:12">
      <c r="A58" s="28" t="s">
        <v>33</v>
      </c>
      <c r="B58" s="28" t="s">
        <v>54</v>
      </c>
      <c r="C58" s="21">
        <v>178</v>
      </c>
      <c r="D58" s="19"/>
      <c r="L58" s="20"/>
    </row>
    <row r="59" spans="1:12">
      <c r="A59" s="28" t="s">
        <v>35</v>
      </c>
      <c r="B59" s="28" t="s">
        <v>24</v>
      </c>
      <c r="C59" s="21">
        <v>183</v>
      </c>
      <c r="D59" s="19"/>
      <c r="L59" s="20"/>
    </row>
    <row r="60" spans="1:12">
      <c r="A60" s="28" t="s">
        <v>37</v>
      </c>
      <c r="B60" s="28" t="s">
        <v>26</v>
      </c>
      <c r="C60" s="21">
        <v>191</v>
      </c>
      <c r="D60" s="19"/>
      <c r="L60" s="20"/>
    </row>
    <row r="61" spans="1:12">
      <c r="A61" s="28" t="s">
        <v>39</v>
      </c>
      <c r="B61" s="28" t="s">
        <v>20</v>
      </c>
      <c r="C61" s="21">
        <v>212</v>
      </c>
      <c r="D61" s="19"/>
      <c r="L61" s="20"/>
    </row>
    <row r="62" spans="1:12">
      <c r="A62" s="28" t="s">
        <v>41</v>
      </c>
      <c r="B62" s="28" t="s">
        <v>74</v>
      </c>
      <c r="C62" s="21">
        <v>212</v>
      </c>
      <c r="D62" s="19"/>
      <c r="L62" s="20"/>
    </row>
    <row r="63" spans="1:12">
      <c r="A63" s="28" t="s">
        <v>43</v>
      </c>
      <c r="B63" s="28" t="s">
        <v>30</v>
      </c>
      <c r="C63" s="21">
        <v>226</v>
      </c>
      <c r="D63" s="19"/>
      <c r="L63" s="20"/>
    </row>
    <row r="64" spans="1:12">
      <c r="A64" s="28" t="s">
        <v>45</v>
      </c>
      <c r="B64" s="28" t="s">
        <v>76</v>
      </c>
      <c r="C64" s="21">
        <v>254</v>
      </c>
      <c r="D64" s="19"/>
      <c r="L64" s="20"/>
    </row>
    <row r="65" spans="1:12">
      <c r="A65" s="28" t="s">
        <v>47</v>
      </c>
      <c r="B65" s="28" t="s">
        <v>14</v>
      </c>
      <c r="C65" s="21">
        <v>269</v>
      </c>
      <c r="D65" s="19"/>
      <c r="L65" s="20"/>
    </row>
    <row r="66" spans="1:12">
      <c r="A66" s="28" t="s">
        <v>49</v>
      </c>
      <c r="B66" s="28" t="s">
        <v>32</v>
      </c>
      <c r="C66" s="21">
        <v>282</v>
      </c>
      <c r="D66" s="19"/>
      <c r="L66" s="20"/>
    </row>
    <row r="67" spans="1:12">
      <c r="A67" s="28" t="s">
        <v>51</v>
      </c>
      <c r="B67" s="28" t="s">
        <v>42</v>
      </c>
      <c r="C67" s="21">
        <v>303</v>
      </c>
      <c r="D67" s="19"/>
      <c r="L67" s="20"/>
    </row>
    <row r="68" spans="1:12">
      <c r="A68" s="28" t="s">
        <v>53</v>
      </c>
      <c r="B68" s="28" t="s">
        <v>52</v>
      </c>
      <c r="C68" s="21">
        <v>305</v>
      </c>
      <c r="D68" s="19"/>
      <c r="L68" s="20"/>
    </row>
    <row r="69" spans="1:12">
      <c r="A69" s="28" t="s">
        <v>55</v>
      </c>
      <c r="B69" s="28" t="s">
        <v>78</v>
      </c>
      <c r="C69" s="21">
        <v>354</v>
      </c>
      <c r="D69" s="19"/>
      <c r="L69" s="20"/>
    </row>
    <row r="70" spans="1:12">
      <c r="A70" s="28" t="s">
        <v>57</v>
      </c>
      <c r="B70" s="28" t="s">
        <v>40</v>
      </c>
      <c r="C70" s="21">
        <v>355</v>
      </c>
      <c r="D70" s="19"/>
      <c r="L70" s="20"/>
    </row>
    <row r="71" spans="1:12">
      <c r="A71" s="28" t="s">
        <v>59</v>
      </c>
      <c r="B71" s="28" t="s">
        <v>36</v>
      </c>
      <c r="C71" s="21">
        <v>401</v>
      </c>
      <c r="D71" s="19"/>
      <c r="L71" s="20"/>
    </row>
    <row r="72" spans="1:12">
      <c r="A72" s="28" t="s">
        <v>61</v>
      </c>
      <c r="B72" s="28" t="s">
        <v>62</v>
      </c>
      <c r="C72" s="21">
        <v>442</v>
      </c>
      <c r="D72" s="19"/>
      <c r="L72" s="20"/>
    </row>
    <row r="73" spans="1:12">
      <c r="A73" s="28" t="s">
        <v>63</v>
      </c>
      <c r="B73" s="28" t="s">
        <v>18</v>
      </c>
      <c r="C73" s="21">
        <v>443</v>
      </c>
      <c r="D73" s="19"/>
      <c r="L73" s="20"/>
    </row>
    <row r="74" spans="1:12">
      <c r="A74" s="28" t="s">
        <v>65</v>
      </c>
      <c r="B74" s="28" t="s">
        <v>16</v>
      </c>
      <c r="C74" s="21">
        <v>447</v>
      </c>
      <c r="D74" s="19"/>
      <c r="L74" s="20"/>
    </row>
    <row r="75" spans="1:12">
      <c r="A75" s="28" t="s">
        <v>67</v>
      </c>
      <c r="B75" s="28" t="s">
        <v>46</v>
      </c>
      <c r="C75" s="21">
        <v>479</v>
      </c>
      <c r="D75" s="19"/>
      <c r="L75" s="20"/>
    </row>
    <row r="76" spans="1:12">
      <c r="A76" s="28" t="s">
        <v>69</v>
      </c>
      <c r="B76" s="28" t="s">
        <v>38</v>
      </c>
      <c r="C76" s="21">
        <v>501</v>
      </c>
      <c r="D76" s="19"/>
      <c r="L76" s="20"/>
    </row>
    <row r="77" spans="1:12">
      <c r="A77" s="28" t="s">
        <v>71</v>
      </c>
      <c r="B77" s="28" t="s">
        <v>48</v>
      </c>
      <c r="C77" s="21">
        <v>510</v>
      </c>
      <c r="D77" s="19"/>
      <c r="L77" s="20"/>
    </row>
    <row r="78" spans="1:12">
      <c r="A78" s="28" t="s">
        <v>73</v>
      </c>
      <c r="B78" s="28" t="s">
        <v>68</v>
      </c>
      <c r="C78" s="21">
        <v>615</v>
      </c>
      <c r="D78" s="19"/>
      <c r="L78" s="20"/>
    </row>
    <row r="79" spans="1:12">
      <c r="A79" s="28" t="s">
        <v>75</v>
      </c>
      <c r="B79" s="28" t="s">
        <v>66</v>
      </c>
      <c r="C79" s="21">
        <v>681</v>
      </c>
      <c r="D79" s="19"/>
      <c r="L79" s="20"/>
    </row>
    <row r="80" spans="1:12">
      <c r="A80" s="28" t="s">
        <v>77</v>
      </c>
      <c r="B80" s="36" t="s">
        <v>60</v>
      </c>
      <c r="C80" s="22">
        <v>1534</v>
      </c>
      <c r="D80" s="19"/>
      <c r="L80" s="20"/>
    </row>
    <row r="81" spans="1:12">
      <c r="A81" s="46" t="s">
        <v>79</v>
      </c>
      <c r="B81" s="13" t="s">
        <v>80</v>
      </c>
      <c r="C81" s="41">
        <v>229</v>
      </c>
      <c r="E81" s="17" t="s">
        <v>82</v>
      </c>
      <c r="L81" s="20"/>
    </row>
    <row r="82" spans="1:12">
      <c r="A82" s="51"/>
      <c r="B82" s="52" t="s">
        <v>81</v>
      </c>
      <c r="C82" s="49">
        <f>SUM(C46:C81)</f>
        <v>10831</v>
      </c>
      <c r="D82" s="19"/>
    </row>
    <row r="83" spans="1:12">
      <c r="A83" s="17" t="s">
        <v>82</v>
      </c>
      <c r="B83" s="17"/>
    </row>
    <row r="85" spans="1:12" hidden="1"/>
    <row r="86" spans="1:12" ht="18.75">
      <c r="A86" s="4" t="s">
        <v>85</v>
      </c>
    </row>
    <row r="87" spans="1:12" ht="30">
      <c r="A87" s="44" t="s">
        <v>4</v>
      </c>
      <c r="B87" s="45" t="s">
        <v>84</v>
      </c>
      <c r="C87" s="44" t="s">
        <v>97</v>
      </c>
    </row>
    <row r="88" spans="1:12">
      <c r="A88" s="25" t="s">
        <v>9</v>
      </c>
      <c r="B88" s="34" t="s">
        <v>72</v>
      </c>
      <c r="C88" s="26">
        <v>10.025062656641603</v>
      </c>
      <c r="D88" s="27"/>
    </row>
    <row r="89" spans="1:12">
      <c r="A89" s="28" t="s">
        <v>11</v>
      </c>
      <c r="B89" s="35" t="s">
        <v>42</v>
      </c>
      <c r="C89" s="29">
        <v>10.971900347624565</v>
      </c>
      <c r="D89" s="27"/>
    </row>
    <row r="90" spans="1:12">
      <c r="A90" s="28" t="s">
        <v>13</v>
      </c>
      <c r="B90" s="35" t="s">
        <v>12</v>
      </c>
      <c r="C90" s="29">
        <v>13.946075175986186</v>
      </c>
      <c r="D90" s="27"/>
    </row>
    <row r="91" spans="1:12">
      <c r="A91" s="28" t="s">
        <v>15</v>
      </c>
      <c r="B91" s="35" t="s">
        <v>16</v>
      </c>
      <c r="C91" s="29">
        <v>14.213036565977742</v>
      </c>
      <c r="D91" s="27"/>
    </row>
    <row r="92" spans="1:12">
      <c r="A92" s="28" t="s">
        <v>17</v>
      </c>
      <c r="B92" s="35" t="s">
        <v>64</v>
      </c>
      <c r="C92" s="29">
        <v>15.168539325842696</v>
      </c>
      <c r="D92" s="27"/>
    </row>
    <row r="93" spans="1:12">
      <c r="A93" s="28" t="s">
        <v>19</v>
      </c>
      <c r="B93" s="35" t="s">
        <v>62</v>
      </c>
      <c r="C93" s="29">
        <v>15.339233038348082</v>
      </c>
      <c r="D93" s="27"/>
    </row>
    <row r="94" spans="1:12">
      <c r="A94" s="28" t="s">
        <v>21</v>
      </c>
      <c r="B94" s="35" t="s">
        <v>74</v>
      </c>
      <c r="C94" s="29">
        <v>16.662736775917629</v>
      </c>
      <c r="D94" s="27"/>
    </row>
    <row r="95" spans="1:12">
      <c r="A95" s="28" t="s">
        <v>23</v>
      </c>
      <c r="B95" s="35" t="s">
        <v>58</v>
      </c>
      <c r="C95" s="29">
        <v>17.841034379071868</v>
      </c>
      <c r="D95" s="27"/>
    </row>
    <row r="96" spans="1:12">
      <c r="A96" s="28" t="s">
        <v>25</v>
      </c>
      <c r="B96" s="35" t="s">
        <v>56</v>
      </c>
      <c r="C96" s="29">
        <v>18.045690151660587</v>
      </c>
      <c r="D96" s="27"/>
    </row>
    <row r="97" spans="1:4">
      <c r="A97" s="28" t="s">
        <v>27</v>
      </c>
      <c r="B97" s="35" t="s">
        <v>54</v>
      </c>
      <c r="C97" s="29">
        <v>18.104149715215623</v>
      </c>
      <c r="D97" s="27"/>
    </row>
    <row r="98" spans="1:4">
      <c r="A98" s="28" t="s">
        <v>29</v>
      </c>
      <c r="B98" s="35" t="s">
        <v>32</v>
      </c>
      <c r="C98" s="29">
        <v>18.949065985754604</v>
      </c>
      <c r="D98" s="27"/>
    </row>
    <row r="99" spans="1:4">
      <c r="A99" s="28" t="s">
        <v>31</v>
      </c>
      <c r="B99" s="35" t="s">
        <v>36</v>
      </c>
      <c r="C99" s="29">
        <v>18.950850661625708</v>
      </c>
      <c r="D99" s="27"/>
    </row>
    <row r="100" spans="1:4">
      <c r="A100" s="10" t="s">
        <v>33</v>
      </c>
      <c r="B100" s="35" t="s">
        <v>48</v>
      </c>
      <c r="C100" s="29">
        <v>19.883040935672515</v>
      </c>
      <c r="D100" s="27"/>
    </row>
    <row r="101" spans="1:4">
      <c r="A101" s="28" t="s">
        <v>35</v>
      </c>
      <c r="B101" s="35" t="s">
        <v>76</v>
      </c>
      <c r="C101" s="29">
        <v>19.912198181248041</v>
      </c>
      <c r="D101" s="27"/>
    </row>
    <row r="102" spans="1:4">
      <c r="A102" s="28" t="s">
        <v>37</v>
      </c>
      <c r="B102" s="35" t="s">
        <v>18</v>
      </c>
      <c r="C102" s="29">
        <v>19.91727362647244</v>
      </c>
      <c r="D102" s="27"/>
    </row>
    <row r="103" spans="1:4">
      <c r="A103" s="28" t="s">
        <v>39</v>
      </c>
      <c r="B103" s="35" t="s">
        <v>20</v>
      </c>
      <c r="C103" s="29">
        <v>21.1386977764483</v>
      </c>
      <c r="D103" s="27"/>
    </row>
    <row r="104" spans="1:4">
      <c r="A104" s="28" t="s">
        <v>41</v>
      </c>
      <c r="B104" s="35" t="s">
        <v>40</v>
      </c>
      <c r="C104" s="29">
        <v>21.937955753306142</v>
      </c>
      <c r="D104" s="27"/>
    </row>
    <row r="105" spans="1:4">
      <c r="A105" s="28" t="s">
        <v>43</v>
      </c>
      <c r="B105" s="35" t="s">
        <v>70</v>
      </c>
      <c r="C105" s="29">
        <v>21.94452910697958</v>
      </c>
      <c r="D105" s="27"/>
    </row>
    <row r="106" spans="1:4">
      <c r="A106" s="28" t="s">
        <v>45</v>
      </c>
      <c r="B106" s="35" t="s">
        <v>78</v>
      </c>
      <c r="C106" s="29">
        <v>23.190304618408121</v>
      </c>
      <c r="D106" s="27"/>
    </row>
    <row r="107" spans="1:4">
      <c r="A107" s="28" t="s">
        <v>47</v>
      </c>
      <c r="B107" s="35" t="s">
        <v>14</v>
      </c>
      <c r="C107" s="29">
        <v>23.452484742807322</v>
      </c>
      <c r="D107" s="27"/>
    </row>
    <row r="108" spans="1:4">
      <c r="A108" s="28" t="s">
        <v>49</v>
      </c>
      <c r="B108" s="35" t="s">
        <v>52</v>
      </c>
      <c r="C108" s="29">
        <v>24.837133550488598</v>
      </c>
      <c r="D108" s="27"/>
    </row>
    <row r="109" spans="1:4">
      <c r="A109" s="28" t="s">
        <v>51</v>
      </c>
      <c r="B109" s="35" t="s">
        <v>30</v>
      </c>
      <c r="C109" s="29">
        <v>25.404676258992808</v>
      </c>
      <c r="D109" s="27"/>
    </row>
    <row r="110" spans="1:4">
      <c r="A110" s="28" t="s">
        <v>53</v>
      </c>
      <c r="B110" s="35" t="s">
        <v>68</v>
      </c>
      <c r="C110" s="29">
        <v>28.761165411775711</v>
      </c>
      <c r="D110" s="27"/>
    </row>
    <row r="111" spans="1:4">
      <c r="A111" s="28" t="s">
        <v>55</v>
      </c>
      <c r="B111" s="35" t="s">
        <v>22</v>
      </c>
      <c r="C111" s="29">
        <v>29.971181556195965</v>
      </c>
      <c r="D111" s="27"/>
    </row>
    <row r="112" spans="1:4">
      <c r="A112" s="28" t="s">
        <v>57</v>
      </c>
      <c r="B112" s="35" t="s">
        <v>66</v>
      </c>
      <c r="C112" s="29">
        <v>30.888556266158663</v>
      </c>
      <c r="D112" s="27"/>
    </row>
    <row r="113" spans="1:5">
      <c r="A113" s="28" t="s">
        <v>59</v>
      </c>
      <c r="B113" s="35" t="s">
        <v>46</v>
      </c>
      <c r="C113" s="29">
        <v>31.146368424474936</v>
      </c>
      <c r="D113" s="27"/>
    </row>
    <row r="114" spans="1:5">
      <c r="A114" s="28" t="s">
        <v>61</v>
      </c>
      <c r="B114" s="35" t="s">
        <v>26</v>
      </c>
      <c r="C114" s="29">
        <v>31.695984069034186</v>
      </c>
      <c r="D114" s="27"/>
    </row>
    <row r="115" spans="1:5">
      <c r="A115" s="28" t="s">
        <v>63</v>
      </c>
      <c r="B115" s="35" t="s">
        <v>10</v>
      </c>
      <c r="C115" s="29">
        <v>33.280507131537242</v>
      </c>
      <c r="D115" s="27"/>
    </row>
    <row r="116" spans="1:5">
      <c r="A116" s="28" t="s">
        <v>65</v>
      </c>
      <c r="B116" s="35" t="s">
        <v>34</v>
      </c>
      <c r="C116" s="29">
        <v>35.872907413734204</v>
      </c>
      <c r="D116" s="27"/>
    </row>
    <row r="117" spans="1:5">
      <c r="A117" s="28" t="s">
        <v>67</v>
      </c>
      <c r="B117" s="35" t="s">
        <v>38</v>
      </c>
      <c r="C117" s="29">
        <v>37.885662431941924</v>
      </c>
      <c r="D117" s="27"/>
    </row>
    <row r="118" spans="1:5">
      <c r="A118" s="10" t="s">
        <v>69</v>
      </c>
      <c r="B118" s="27" t="s">
        <v>44</v>
      </c>
      <c r="C118" s="29">
        <v>39.733333333333334</v>
      </c>
      <c r="D118" s="27"/>
    </row>
    <row r="119" spans="1:5">
      <c r="A119" s="28" t="s">
        <v>71</v>
      </c>
      <c r="B119" s="35" t="s">
        <v>28</v>
      </c>
      <c r="C119" s="29">
        <v>49.607275733774287</v>
      </c>
      <c r="D119" s="27"/>
    </row>
    <row r="120" spans="1:5">
      <c r="A120" s="28" t="s">
        <v>73</v>
      </c>
      <c r="B120" s="35" t="s">
        <v>60</v>
      </c>
      <c r="C120" s="29">
        <v>62.886893781002748</v>
      </c>
      <c r="D120" s="27"/>
    </row>
    <row r="121" spans="1:5">
      <c r="A121" s="28" t="s">
        <v>75</v>
      </c>
      <c r="B121" s="35" t="s">
        <v>24</v>
      </c>
      <c r="C121" s="29">
        <v>100.43907793633369</v>
      </c>
      <c r="D121" s="27"/>
    </row>
    <row r="122" spans="1:5">
      <c r="A122" s="28" t="s">
        <v>77</v>
      </c>
      <c r="B122" s="35" t="s">
        <v>50</v>
      </c>
      <c r="C122" s="33">
        <v>121.71372930866602</v>
      </c>
      <c r="D122" s="27"/>
    </row>
    <row r="123" spans="1:5">
      <c r="A123" s="31"/>
      <c r="B123" s="57"/>
      <c r="C123" s="57"/>
      <c r="E123" s="17" t="s">
        <v>82</v>
      </c>
    </row>
    <row r="124" spans="1:5">
      <c r="A124" s="51"/>
      <c r="B124" s="53" t="s">
        <v>81</v>
      </c>
      <c r="C124" s="53">
        <v>24.970777895870174</v>
      </c>
      <c r="D124" s="19"/>
    </row>
    <row r="125" spans="1:5">
      <c r="A125" s="17" t="s">
        <v>82</v>
      </c>
    </row>
    <row r="129" ht="90.6" customHeight="1"/>
  </sheetData>
  <dataConsolidate/>
  <conditionalFormatting sqref="D12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8:D122 C123">
    <cfRule type="colorScale" priority="4">
      <colorScale>
        <cfvo type="min"/>
        <cfvo type="percentile" val="50"/>
        <cfvo type="max"/>
        <color theme="3" tint="9.9978637043366805E-2"/>
        <color theme="3" tint="0.89999084444715716"/>
        <color rgb="FFFF0000"/>
      </colorScale>
    </cfRule>
  </conditionalFormatting>
  <conditionalFormatting sqref="D8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6:D80">
    <cfRule type="colorScale" priority="2">
      <colorScale>
        <cfvo type="min"/>
        <cfvo type="percentile" val="50"/>
        <cfvo type="max"/>
        <color theme="3" tint="0.249977111117893"/>
        <color theme="3" tint="0.89999084444715716"/>
        <color rgb="FFFF0000"/>
      </colorScale>
    </cfRule>
  </conditionalFormatting>
  <hyperlinks>
    <hyperlink ref="A3:B3" location="UWAGA!A1" display="UWAGA: wyjaśnienia metodologiczne" xr:uid="{00000000-0004-0000-0300-000000000000}"/>
  </hyperlinks>
  <pageMargins left="0.31496062992125984" right="0.31496062992125984" top="0.74803149606299213" bottom="0.74803149606299213" header="0.31496062992125984" footer="0.31496062992125984"/>
  <pageSetup paperSize="9" scale="49" orientation="landscape" r:id="rId1"/>
  <headerFooter>
    <oddHeader>&amp;LGDAŃSK W LICZBACH / BEZPIECZEŃSTWO
&amp;F&amp;R&amp;D</oddHeader>
    <oddFooter>&amp;L&amp;"-,Kursywa"&amp;8Opracowanie: Referat Badań i Analiz Społeczno-Gospodarczych, WPG, UMG&amp;R&amp;"-,Kursywa"&amp;8www.gdansk.pl/gdanskwliczbach</oddFooter>
  </headerFooter>
  <rowBreaks count="4" manualBreakCount="4">
    <brk id="1" max="16383" man="1"/>
    <brk id="42" max="16383" man="1"/>
    <brk id="83" max="16383" man="1"/>
    <brk id="125" max="16383" man="1"/>
  </rowBreaks>
  <colBreaks count="1" manualBreakCount="1">
    <brk id="25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EBE4-D02D-4DF0-8DDB-1562D0481BBF}">
  <dimension ref="A1:L128"/>
  <sheetViews>
    <sheetView showGridLines="0" topLeftCell="A109" zoomScale="90" zoomScaleNormal="90" workbookViewId="0">
      <selection activeCell="C123" sqref="C123"/>
    </sheetView>
  </sheetViews>
  <sheetFormatPr defaultColWidth="43" defaultRowHeight="15"/>
  <cols>
    <col min="1" max="1" width="3.5703125" style="5" customWidth="1"/>
    <col min="2" max="2" width="56.85546875" style="5" customWidth="1"/>
    <col min="3" max="3" width="32.28515625" style="5" customWidth="1"/>
    <col min="4" max="4" width="18.85546875" style="5" customWidth="1"/>
    <col min="5" max="5" width="25.42578125" style="5" customWidth="1"/>
    <col min="6" max="6" width="20.28515625" style="5" customWidth="1"/>
    <col min="7" max="7" width="18.85546875" style="5" customWidth="1"/>
    <col min="8" max="8" width="28.140625" style="5" customWidth="1"/>
    <col min="9" max="9" width="26.85546875" style="5" customWidth="1"/>
    <col min="10" max="10" width="19.28515625" style="5" customWidth="1"/>
    <col min="11" max="11" width="22.28515625" style="5" customWidth="1"/>
    <col min="12" max="12" width="18" style="5" customWidth="1"/>
    <col min="13" max="13" width="17.28515625" style="5" customWidth="1"/>
    <col min="14" max="14" width="16.85546875" style="5" customWidth="1"/>
    <col min="15" max="15" width="20" style="5" customWidth="1"/>
    <col min="16" max="16" width="14.7109375" style="5" customWidth="1"/>
    <col min="17" max="17" width="16.7109375" style="5" customWidth="1"/>
    <col min="18" max="18" width="15.85546875" style="5" customWidth="1"/>
    <col min="19" max="19" width="17.140625" style="5" customWidth="1"/>
    <col min="20" max="20" width="19.5703125" style="5" customWidth="1"/>
    <col min="21" max="21" width="17.28515625" style="5" customWidth="1"/>
    <col min="22" max="22" width="17.5703125" style="5" customWidth="1"/>
    <col min="23" max="23" width="14.5703125" style="5" customWidth="1"/>
    <col min="24" max="24" width="13.7109375" style="5" customWidth="1"/>
    <col min="25" max="25" width="14.140625" style="5" customWidth="1"/>
    <col min="26" max="26" width="15.28515625" style="5" customWidth="1"/>
    <col min="27" max="242" width="9.140625" style="5" customWidth="1"/>
    <col min="243" max="16384" width="43" style="5"/>
  </cols>
  <sheetData>
    <row r="1" spans="1:11" customFormat="1" ht="3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8.75">
      <c r="A2" s="4" t="s">
        <v>2</v>
      </c>
    </row>
    <row r="3" spans="1:11" ht="15.75">
      <c r="A3" s="54" t="s">
        <v>3</v>
      </c>
      <c r="B3" s="55"/>
      <c r="C3" s="56"/>
      <c r="D3" s="56"/>
      <c r="E3" s="56"/>
    </row>
    <row r="4" spans="1:11" ht="33.6" customHeight="1">
      <c r="A4" s="44" t="s">
        <v>4</v>
      </c>
      <c r="B4" s="44" t="s">
        <v>5</v>
      </c>
      <c r="C4" s="44" t="s">
        <v>98</v>
      </c>
      <c r="D4" s="44" t="s">
        <v>99</v>
      </c>
      <c r="E4" s="44" t="s">
        <v>100</v>
      </c>
    </row>
    <row r="5" spans="1:11">
      <c r="A5" s="7" t="s">
        <v>9</v>
      </c>
      <c r="B5" s="6" t="s">
        <v>10</v>
      </c>
      <c r="C5" s="8">
        <v>82</v>
      </c>
      <c r="D5" s="8">
        <v>4314</v>
      </c>
      <c r="E5" s="42">
        <f t="shared" ref="E5:E39" si="0">C5/D5*1000</f>
        <v>19.007881316643488</v>
      </c>
      <c r="F5" s="27"/>
      <c r="G5" s="9"/>
      <c r="H5" s="19"/>
      <c r="I5" s="19"/>
    </row>
    <row r="6" spans="1:11">
      <c r="A6" s="7" t="s">
        <v>11</v>
      </c>
      <c r="B6" s="6" t="s">
        <v>12</v>
      </c>
      <c r="C6" s="8">
        <v>77</v>
      </c>
      <c r="D6" s="8">
        <v>7530</v>
      </c>
      <c r="E6" s="42">
        <f t="shared" si="0"/>
        <v>10.225763612217795</v>
      </c>
      <c r="F6" s="27"/>
      <c r="H6" s="19"/>
      <c r="I6" s="19"/>
    </row>
    <row r="7" spans="1:11" ht="15" customHeight="1">
      <c r="A7" s="7" t="s">
        <v>13</v>
      </c>
      <c r="B7" s="6" t="s">
        <v>14</v>
      </c>
      <c r="C7" s="8">
        <v>222</v>
      </c>
      <c r="D7" s="8">
        <v>11128</v>
      </c>
      <c r="E7" s="42">
        <f t="shared" si="0"/>
        <v>19.949676491732568</v>
      </c>
      <c r="F7" s="27"/>
      <c r="G7" s="11"/>
      <c r="H7" s="19"/>
      <c r="I7" s="19"/>
    </row>
    <row r="8" spans="1:11">
      <c r="A8" s="7" t="s">
        <v>15</v>
      </c>
      <c r="B8" s="6" t="s">
        <v>16</v>
      </c>
      <c r="C8" s="8">
        <v>470</v>
      </c>
      <c r="D8" s="8">
        <v>31103</v>
      </c>
      <c r="E8" s="42">
        <f t="shared" si="0"/>
        <v>15.111082532231618</v>
      </c>
      <c r="F8" s="27"/>
      <c r="G8" s="11"/>
      <c r="H8" s="19"/>
      <c r="I8" s="19"/>
    </row>
    <row r="9" spans="1:11">
      <c r="A9" s="7" t="s">
        <v>17</v>
      </c>
      <c r="B9" s="6" t="s">
        <v>18</v>
      </c>
      <c r="C9" s="8">
        <v>416</v>
      </c>
      <c r="D9" s="8">
        <v>23293</v>
      </c>
      <c r="E9" s="42">
        <f t="shared" si="0"/>
        <v>17.859442751041087</v>
      </c>
      <c r="F9" s="27"/>
      <c r="G9" s="11"/>
      <c r="H9" s="19"/>
      <c r="I9" s="19"/>
    </row>
    <row r="10" spans="1:11">
      <c r="A10" s="7" t="s">
        <v>19</v>
      </c>
      <c r="B10" s="6" t="s">
        <v>20</v>
      </c>
      <c r="C10" s="8">
        <v>207</v>
      </c>
      <c r="D10" s="8">
        <v>10143</v>
      </c>
      <c r="E10" s="42">
        <f t="shared" si="0"/>
        <v>20.408163265306122</v>
      </c>
      <c r="F10" s="27"/>
      <c r="G10" s="11"/>
      <c r="H10" s="19"/>
      <c r="I10" s="19"/>
    </row>
    <row r="11" spans="1:11">
      <c r="A11" s="7" t="s">
        <v>21</v>
      </c>
      <c r="B11" s="6" t="s">
        <v>22</v>
      </c>
      <c r="C11" s="8">
        <v>47</v>
      </c>
      <c r="D11" s="8">
        <v>1715</v>
      </c>
      <c r="E11" s="42">
        <f t="shared" si="0"/>
        <v>27.40524781341108</v>
      </c>
      <c r="F11" s="27"/>
      <c r="G11" s="11"/>
      <c r="H11" s="19"/>
      <c r="I11" s="19"/>
    </row>
    <row r="12" spans="1:11">
      <c r="A12" s="7" t="s">
        <v>23</v>
      </c>
      <c r="B12" s="6" t="s">
        <v>24</v>
      </c>
      <c r="C12" s="8">
        <v>162</v>
      </c>
      <c r="D12" s="8">
        <v>2192</v>
      </c>
      <c r="E12" s="42">
        <f t="shared" si="0"/>
        <v>73.9051094890511</v>
      </c>
      <c r="F12" s="27"/>
      <c r="G12" s="11"/>
      <c r="H12" s="19"/>
      <c r="I12" s="19"/>
    </row>
    <row r="13" spans="1:11">
      <c r="A13" s="7" t="s">
        <v>25</v>
      </c>
      <c r="B13" s="6" t="s">
        <v>26</v>
      </c>
      <c r="C13" s="8">
        <v>187</v>
      </c>
      <c r="D13" s="8">
        <v>6047</v>
      </c>
      <c r="E13" s="42">
        <f t="shared" si="0"/>
        <v>30.924425334876798</v>
      </c>
      <c r="F13" s="27"/>
      <c r="G13" s="11"/>
      <c r="H13" s="19"/>
      <c r="I13" s="19"/>
    </row>
    <row r="14" spans="1:11">
      <c r="A14" s="7" t="s">
        <v>27</v>
      </c>
      <c r="B14" s="6" t="s">
        <v>28</v>
      </c>
      <c r="C14" s="8">
        <v>109</v>
      </c>
      <c r="D14" s="8">
        <v>2348</v>
      </c>
      <c r="E14" s="42">
        <f t="shared" si="0"/>
        <v>46.422487223168659</v>
      </c>
      <c r="F14" s="27"/>
      <c r="G14" s="11"/>
      <c r="H14" s="19"/>
      <c r="I14" s="19"/>
    </row>
    <row r="15" spans="1:11">
      <c r="A15" s="7" t="s">
        <v>29</v>
      </c>
      <c r="B15" s="6" t="s">
        <v>30</v>
      </c>
      <c r="C15" s="8">
        <v>201</v>
      </c>
      <c r="D15" s="8">
        <v>8665</v>
      </c>
      <c r="E15" s="42">
        <f t="shared" si="0"/>
        <v>23.196768609347949</v>
      </c>
      <c r="F15" s="27"/>
      <c r="G15" s="11"/>
      <c r="H15" s="19"/>
      <c r="I15" s="19"/>
    </row>
    <row r="16" spans="1:11">
      <c r="A16" s="7" t="s">
        <v>31</v>
      </c>
      <c r="B16" s="6" t="s">
        <v>32</v>
      </c>
      <c r="C16" s="8">
        <v>340</v>
      </c>
      <c r="D16" s="8">
        <v>14743</v>
      </c>
      <c r="E16" s="42">
        <f t="shared" si="0"/>
        <v>23.061792036898868</v>
      </c>
      <c r="F16" s="27"/>
      <c r="G16" s="11"/>
      <c r="H16" s="19"/>
      <c r="I16" s="19"/>
    </row>
    <row r="17" spans="1:9">
      <c r="A17" s="7" t="s">
        <v>33</v>
      </c>
      <c r="B17" s="6" t="s">
        <v>34</v>
      </c>
      <c r="C17" s="8">
        <v>77</v>
      </c>
      <c r="D17" s="8">
        <v>2903</v>
      </c>
      <c r="E17" s="42">
        <f t="shared" si="0"/>
        <v>26.524285222183945</v>
      </c>
      <c r="F17" s="27"/>
      <c r="G17" s="11"/>
      <c r="H17" s="19"/>
      <c r="I17" s="19"/>
    </row>
    <row r="18" spans="1:9">
      <c r="A18" s="7" t="s">
        <v>35</v>
      </c>
      <c r="B18" s="6" t="s">
        <v>36</v>
      </c>
      <c r="C18" s="8">
        <v>431</v>
      </c>
      <c r="D18" s="8">
        <v>21778</v>
      </c>
      <c r="E18" s="42">
        <f t="shared" si="0"/>
        <v>19.790614381485902</v>
      </c>
      <c r="F18" s="27"/>
      <c r="G18" s="11"/>
      <c r="H18" s="19"/>
      <c r="I18" s="19"/>
    </row>
    <row r="19" spans="1:9">
      <c r="A19" s="7" t="s">
        <v>37</v>
      </c>
      <c r="B19" s="6" t="s">
        <v>38</v>
      </c>
      <c r="C19" s="8">
        <v>338</v>
      </c>
      <c r="D19" s="8">
        <v>12888</v>
      </c>
      <c r="E19" s="42">
        <f t="shared" si="0"/>
        <v>26.22594661700807</v>
      </c>
      <c r="F19" s="27"/>
      <c r="G19" s="11"/>
      <c r="H19" s="19"/>
      <c r="I19" s="19"/>
    </row>
    <row r="20" spans="1:9">
      <c r="A20" s="7" t="s">
        <v>39</v>
      </c>
      <c r="B20" s="6" t="s">
        <v>40</v>
      </c>
      <c r="C20" s="8">
        <v>299</v>
      </c>
      <c r="D20" s="8">
        <v>16200</v>
      </c>
      <c r="E20" s="42">
        <f t="shared" si="0"/>
        <v>18.456790123456791</v>
      </c>
      <c r="F20" s="27"/>
      <c r="G20" s="11"/>
      <c r="H20" s="19"/>
      <c r="I20" s="19"/>
    </row>
    <row r="21" spans="1:9">
      <c r="A21" s="7" t="s">
        <v>41</v>
      </c>
      <c r="B21" s="6" t="s">
        <v>42</v>
      </c>
      <c r="C21" s="8">
        <v>332</v>
      </c>
      <c r="D21" s="8">
        <v>27635</v>
      </c>
      <c r="E21" s="42">
        <f t="shared" si="0"/>
        <v>12.013750678487426</v>
      </c>
      <c r="F21" s="27"/>
      <c r="G21" s="11"/>
      <c r="H21" s="19"/>
      <c r="I21" s="19"/>
    </row>
    <row r="22" spans="1:9">
      <c r="A22" s="7" t="s">
        <v>43</v>
      </c>
      <c r="B22" s="6" t="s">
        <v>44</v>
      </c>
      <c r="C22" s="8">
        <v>128</v>
      </c>
      <c r="D22" s="8">
        <v>3668</v>
      </c>
      <c r="E22" s="42">
        <f t="shared" si="0"/>
        <v>34.896401308615047</v>
      </c>
      <c r="F22" s="27"/>
      <c r="G22" s="11"/>
      <c r="H22" s="19"/>
      <c r="I22" s="19"/>
    </row>
    <row r="23" spans="1:9">
      <c r="A23" s="7" t="s">
        <v>45</v>
      </c>
      <c r="B23" s="6" t="s">
        <v>46</v>
      </c>
      <c r="C23" s="8">
        <v>311</v>
      </c>
      <c r="D23" s="8">
        <v>15204</v>
      </c>
      <c r="E23" s="42">
        <f t="shared" si="0"/>
        <v>20.455143383320181</v>
      </c>
      <c r="F23" s="27"/>
      <c r="G23" s="11"/>
      <c r="H23" s="19"/>
      <c r="I23" s="19"/>
    </row>
    <row r="24" spans="1:9">
      <c r="A24" s="7" t="s">
        <v>47</v>
      </c>
      <c r="B24" s="6" t="s">
        <v>48</v>
      </c>
      <c r="C24" s="8">
        <v>652</v>
      </c>
      <c r="D24" s="8">
        <v>25084</v>
      </c>
      <c r="E24" s="42">
        <f t="shared" si="0"/>
        <v>25.992664646786796</v>
      </c>
      <c r="F24" s="27"/>
      <c r="G24" s="11"/>
      <c r="H24" s="19"/>
      <c r="I24" s="19"/>
    </row>
    <row r="25" spans="1:9">
      <c r="A25" s="7" t="s">
        <v>49</v>
      </c>
      <c r="B25" s="6" t="s">
        <v>50</v>
      </c>
      <c r="C25" s="8">
        <v>86</v>
      </c>
      <c r="D25" s="8">
        <v>1006</v>
      </c>
      <c r="E25" s="42">
        <f t="shared" si="0"/>
        <v>85.487077534791254</v>
      </c>
      <c r="F25" s="27"/>
      <c r="G25" s="11"/>
      <c r="H25" s="19"/>
      <c r="I25" s="19"/>
    </row>
    <row r="26" spans="1:9">
      <c r="A26" s="7" t="s">
        <v>51</v>
      </c>
      <c r="B26" s="6" t="s">
        <v>52</v>
      </c>
      <c r="C26" s="8">
        <v>207</v>
      </c>
      <c r="D26" s="8">
        <v>12136</v>
      </c>
      <c r="E26" s="42">
        <f t="shared" si="0"/>
        <v>17.056690837178643</v>
      </c>
      <c r="F26" s="27"/>
      <c r="G26" s="11"/>
      <c r="H26" s="19"/>
      <c r="I26" s="19"/>
    </row>
    <row r="27" spans="1:9">
      <c r="A27" s="7" t="s">
        <v>53</v>
      </c>
      <c r="B27" s="6" t="s">
        <v>54</v>
      </c>
      <c r="C27" s="8">
        <v>200</v>
      </c>
      <c r="D27" s="8">
        <v>9568</v>
      </c>
      <c r="E27" s="42">
        <f t="shared" si="0"/>
        <v>20.903010033444815</v>
      </c>
      <c r="F27" s="27"/>
      <c r="G27" s="11"/>
      <c r="H27" s="19"/>
      <c r="I27" s="19"/>
    </row>
    <row r="28" spans="1:9">
      <c r="A28" s="7" t="s">
        <v>55</v>
      </c>
      <c r="B28" s="6" t="s">
        <v>56</v>
      </c>
      <c r="C28" s="8">
        <v>65</v>
      </c>
      <c r="D28" s="8">
        <v>5153</v>
      </c>
      <c r="E28" s="42">
        <f t="shared" si="0"/>
        <v>12.614011255579275</v>
      </c>
      <c r="F28" s="27"/>
      <c r="H28" s="19"/>
      <c r="I28" s="19"/>
    </row>
    <row r="29" spans="1:9">
      <c r="A29" s="7" t="s">
        <v>57</v>
      </c>
      <c r="B29" s="6" t="s">
        <v>58</v>
      </c>
      <c r="C29" s="8">
        <v>165</v>
      </c>
      <c r="D29" s="8">
        <v>9769</v>
      </c>
      <c r="E29" s="42">
        <f t="shared" si="0"/>
        <v>16.890162759750233</v>
      </c>
      <c r="F29" s="27"/>
      <c r="H29" s="19"/>
      <c r="I29" s="19"/>
    </row>
    <row r="30" spans="1:9">
      <c r="A30" s="7" t="s">
        <v>59</v>
      </c>
      <c r="B30" s="6" t="s">
        <v>60</v>
      </c>
      <c r="C30" s="8">
        <v>1897</v>
      </c>
      <c r="D30" s="8">
        <v>24159</v>
      </c>
      <c r="E30" s="42">
        <f t="shared" si="0"/>
        <v>78.521461981042265</v>
      </c>
      <c r="F30" s="27"/>
      <c r="H30" s="19"/>
      <c r="I30" s="19"/>
    </row>
    <row r="31" spans="1:9">
      <c r="A31" s="7" t="s">
        <v>61</v>
      </c>
      <c r="B31" s="6" t="s">
        <v>62</v>
      </c>
      <c r="C31" s="8">
        <v>410</v>
      </c>
      <c r="D31" s="8">
        <v>29330</v>
      </c>
      <c r="E31" s="42">
        <f t="shared" si="0"/>
        <v>13.978861234231163</v>
      </c>
      <c r="F31" s="27"/>
      <c r="H31" s="19"/>
      <c r="I31" s="19"/>
    </row>
    <row r="32" spans="1:9">
      <c r="A32" s="7" t="s">
        <v>63</v>
      </c>
      <c r="B32" s="6" t="s">
        <v>64</v>
      </c>
      <c r="C32" s="8">
        <v>99</v>
      </c>
      <c r="D32" s="8">
        <v>3675</v>
      </c>
      <c r="E32" s="42">
        <f t="shared" si="0"/>
        <v>26.938775510204081</v>
      </c>
      <c r="F32" s="27"/>
      <c r="H32" s="19"/>
      <c r="I32" s="19"/>
    </row>
    <row r="33" spans="1:12">
      <c r="A33" s="7" t="s">
        <v>65</v>
      </c>
      <c r="B33" s="6" t="s">
        <v>66</v>
      </c>
      <c r="C33" s="8">
        <v>679</v>
      </c>
      <c r="D33" s="8">
        <v>21956</v>
      </c>
      <c r="E33" s="42">
        <f t="shared" si="0"/>
        <v>30.92548733831299</v>
      </c>
      <c r="F33" s="27"/>
      <c r="H33" s="19"/>
      <c r="I33" s="19"/>
    </row>
    <row r="34" spans="1:12">
      <c r="A34" s="7" t="s">
        <v>67</v>
      </c>
      <c r="B34" s="6" t="s">
        <v>68</v>
      </c>
      <c r="C34" s="8">
        <v>590</v>
      </c>
      <c r="D34" s="8">
        <v>21249</v>
      </c>
      <c r="E34" s="42">
        <f t="shared" si="0"/>
        <v>27.766012518236153</v>
      </c>
      <c r="F34" s="27"/>
      <c r="H34" s="19"/>
      <c r="I34" s="19"/>
    </row>
    <row r="35" spans="1:12">
      <c r="A35" s="7" t="s">
        <v>69</v>
      </c>
      <c r="B35" s="6" t="s">
        <v>70</v>
      </c>
      <c r="C35" s="8">
        <v>78</v>
      </c>
      <c r="D35" s="8">
        <v>3271</v>
      </c>
      <c r="E35" s="42">
        <f t="shared" si="0"/>
        <v>23.845918679302965</v>
      </c>
      <c r="F35" s="27"/>
      <c r="H35" s="19"/>
      <c r="I35" s="19"/>
    </row>
    <row r="36" spans="1:12">
      <c r="A36" s="7" t="s">
        <v>71</v>
      </c>
      <c r="B36" s="6" t="s">
        <v>72</v>
      </c>
      <c r="C36" s="8">
        <v>24</v>
      </c>
      <c r="D36" s="8">
        <v>2386</v>
      </c>
      <c r="E36" s="42">
        <f t="shared" si="0"/>
        <v>10.058675607711651</v>
      </c>
      <c r="F36" s="27"/>
      <c r="H36" s="19"/>
      <c r="I36" s="19"/>
    </row>
    <row r="37" spans="1:12">
      <c r="A37" s="7" t="s">
        <v>73</v>
      </c>
      <c r="B37" s="6" t="s">
        <v>74</v>
      </c>
      <c r="C37" s="8">
        <v>206</v>
      </c>
      <c r="D37" s="8">
        <v>12643</v>
      </c>
      <c r="E37" s="42">
        <f t="shared" si="0"/>
        <v>16.2936012022463</v>
      </c>
      <c r="F37" s="27"/>
      <c r="H37" s="19"/>
      <c r="I37" s="19"/>
    </row>
    <row r="38" spans="1:12">
      <c r="A38" s="7" t="s">
        <v>75</v>
      </c>
      <c r="B38" s="6" t="s">
        <v>76</v>
      </c>
      <c r="C38" s="8">
        <v>155</v>
      </c>
      <c r="D38" s="8">
        <v>12610</v>
      </c>
      <c r="E38" s="42">
        <f t="shared" si="0"/>
        <v>12.291831879460744</v>
      </c>
      <c r="F38" s="27"/>
      <c r="H38" s="19"/>
      <c r="I38" s="19"/>
    </row>
    <row r="39" spans="1:12">
      <c r="A39" s="7" t="s">
        <v>77</v>
      </c>
      <c r="B39" s="6" t="s">
        <v>78</v>
      </c>
      <c r="C39" s="8">
        <v>279</v>
      </c>
      <c r="D39" s="8">
        <v>14981</v>
      </c>
      <c r="E39" s="42">
        <f t="shared" si="0"/>
        <v>18.623589880515318</v>
      </c>
      <c r="F39" s="27"/>
      <c r="H39" s="19"/>
      <c r="I39" s="19"/>
    </row>
    <row r="40" spans="1:12">
      <c r="A40" s="40" t="s">
        <v>79</v>
      </c>
      <c r="B40" s="13" t="s">
        <v>80</v>
      </c>
      <c r="C40" s="41">
        <v>1870</v>
      </c>
      <c r="D40" s="15" t="s">
        <v>79</v>
      </c>
      <c r="E40" s="43" t="s">
        <v>79</v>
      </c>
      <c r="F40" s="9"/>
      <c r="I40" s="19"/>
    </row>
    <row r="41" spans="1:12">
      <c r="A41" s="47"/>
      <c r="B41" s="48" t="s">
        <v>81</v>
      </c>
      <c r="C41" s="49">
        <f>SUM(C5:C40)</f>
        <v>12098</v>
      </c>
      <c r="D41" s="49">
        <f>SUM(D5:D39)</f>
        <v>432473</v>
      </c>
      <c r="E41" s="50">
        <f>C41/D41*1000</f>
        <v>27.974000689060357</v>
      </c>
      <c r="F41" s="9"/>
    </row>
    <row r="42" spans="1:12">
      <c r="A42" s="17" t="s">
        <v>82</v>
      </c>
      <c r="B42" s="17"/>
    </row>
    <row r="43" spans="1:12" ht="15.75" customHeight="1"/>
    <row r="44" spans="1:12" ht="18.75">
      <c r="A44" s="4" t="s">
        <v>83</v>
      </c>
    </row>
    <row r="45" spans="1:12" ht="26.45" customHeight="1">
      <c r="A45" s="44" t="s">
        <v>4</v>
      </c>
      <c r="B45" s="45" t="s">
        <v>84</v>
      </c>
      <c r="C45" s="44" t="s">
        <v>98</v>
      </c>
    </row>
    <row r="46" spans="1:12">
      <c r="A46" s="28" t="s">
        <v>9</v>
      </c>
      <c r="B46" s="25" t="s">
        <v>72</v>
      </c>
      <c r="C46" s="18">
        <v>24</v>
      </c>
      <c r="D46" s="19"/>
      <c r="L46" s="20"/>
    </row>
    <row r="47" spans="1:12">
      <c r="A47" s="28" t="s">
        <v>11</v>
      </c>
      <c r="B47" s="28" t="s">
        <v>22</v>
      </c>
      <c r="C47" s="21">
        <v>47</v>
      </c>
      <c r="D47" s="19"/>
      <c r="L47" s="20"/>
    </row>
    <row r="48" spans="1:12">
      <c r="A48" s="28" t="s">
        <v>13</v>
      </c>
      <c r="B48" s="28" t="s">
        <v>56</v>
      </c>
      <c r="C48" s="21">
        <v>65</v>
      </c>
      <c r="D48" s="19"/>
      <c r="L48" s="20"/>
    </row>
    <row r="49" spans="1:12">
      <c r="A49" s="28" t="s">
        <v>15</v>
      </c>
      <c r="B49" s="28" t="s">
        <v>12</v>
      </c>
      <c r="C49" s="21">
        <v>77</v>
      </c>
      <c r="D49" s="19"/>
      <c r="L49" s="20"/>
    </row>
    <row r="50" spans="1:12">
      <c r="A50" s="28" t="s">
        <v>17</v>
      </c>
      <c r="B50" s="28" t="s">
        <v>34</v>
      </c>
      <c r="C50" s="21">
        <v>77</v>
      </c>
      <c r="D50" s="19"/>
      <c r="L50" s="20"/>
    </row>
    <row r="51" spans="1:12">
      <c r="A51" s="28" t="s">
        <v>19</v>
      </c>
      <c r="B51" s="28" t="s">
        <v>70</v>
      </c>
      <c r="C51" s="21">
        <v>78</v>
      </c>
      <c r="D51" s="19"/>
      <c r="L51" s="20"/>
    </row>
    <row r="52" spans="1:12">
      <c r="A52" s="28" t="s">
        <v>21</v>
      </c>
      <c r="B52" s="28" t="s">
        <v>10</v>
      </c>
      <c r="C52" s="21">
        <v>82</v>
      </c>
      <c r="D52" s="19"/>
      <c r="L52" s="20"/>
    </row>
    <row r="53" spans="1:12">
      <c r="A53" s="28" t="s">
        <v>23</v>
      </c>
      <c r="B53" s="28" t="s">
        <v>50</v>
      </c>
      <c r="C53" s="21">
        <v>86</v>
      </c>
      <c r="D53" s="19"/>
      <c r="L53" s="20"/>
    </row>
    <row r="54" spans="1:12">
      <c r="A54" s="28" t="s">
        <v>25</v>
      </c>
      <c r="B54" s="28" t="s">
        <v>64</v>
      </c>
      <c r="C54" s="21">
        <v>99</v>
      </c>
      <c r="D54" s="19"/>
      <c r="L54" s="20"/>
    </row>
    <row r="55" spans="1:12">
      <c r="A55" s="28" t="s">
        <v>27</v>
      </c>
      <c r="B55" s="28" t="s">
        <v>28</v>
      </c>
      <c r="C55" s="21">
        <v>109</v>
      </c>
      <c r="D55" s="19"/>
      <c r="L55" s="20"/>
    </row>
    <row r="56" spans="1:12">
      <c r="A56" s="28" t="s">
        <v>29</v>
      </c>
      <c r="B56" s="28" t="s">
        <v>44</v>
      </c>
      <c r="C56" s="21">
        <v>128</v>
      </c>
      <c r="D56" s="19"/>
      <c r="L56" s="20"/>
    </row>
    <row r="57" spans="1:12">
      <c r="A57" s="28" t="s">
        <v>31</v>
      </c>
      <c r="B57" s="28" t="s">
        <v>76</v>
      </c>
      <c r="C57" s="21">
        <v>155</v>
      </c>
      <c r="D57" s="19"/>
      <c r="L57" s="20"/>
    </row>
    <row r="58" spans="1:12">
      <c r="A58" s="28" t="s">
        <v>33</v>
      </c>
      <c r="B58" s="28" t="s">
        <v>24</v>
      </c>
      <c r="C58" s="21">
        <v>162</v>
      </c>
      <c r="D58" s="19"/>
      <c r="L58" s="20"/>
    </row>
    <row r="59" spans="1:12">
      <c r="A59" s="28" t="s">
        <v>35</v>
      </c>
      <c r="B59" s="28" t="s">
        <v>58</v>
      </c>
      <c r="C59" s="21">
        <v>165</v>
      </c>
      <c r="D59" s="19"/>
      <c r="L59" s="20"/>
    </row>
    <row r="60" spans="1:12">
      <c r="A60" s="28" t="s">
        <v>37</v>
      </c>
      <c r="B60" s="28" t="s">
        <v>26</v>
      </c>
      <c r="C60" s="21">
        <v>187</v>
      </c>
      <c r="D60" s="19"/>
      <c r="L60" s="20"/>
    </row>
    <row r="61" spans="1:12">
      <c r="A61" s="28" t="s">
        <v>39</v>
      </c>
      <c r="B61" s="28" t="s">
        <v>54</v>
      </c>
      <c r="C61" s="21">
        <v>200</v>
      </c>
      <c r="D61" s="19"/>
      <c r="L61" s="20"/>
    </row>
    <row r="62" spans="1:12">
      <c r="A62" s="28" t="s">
        <v>41</v>
      </c>
      <c r="B62" s="28" t="s">
        <v>30</v>
      </c>
      <c r="C62" s="21">
        <v>201</v>
      </c>
      <c r="D62" s="19"/>
      <c r="L62" s="20"/>
    </row>
    <row r="63" spans="1:12">
      <c r="A63" s="28" t="s">
        <v>43</v>
      </c>
      <c r="B63" s="28" t="s">
        <v>74</v>
      </c>
      <c r="C63" s="21">
        <v>206</v>
      </c>
      <c r="D63" s="19"/>
      <c r="L63" s="20"/>
    </row>
    <row r="64" spans="1:12">
      <c r="A64" s="28" t="s">
        <v>45</v>
      </c>
      <c r="B64" s="28" t="s">
        <v>20</v>
      </c>
      <c r="C64" s="21">
        <v>207</v>
      </c>
      <c r="D64" s="19"/>
      <c r="L64" s="20"/>
    </row>
    <row r="65" spans="1:12">
      <c r="A65" s="28" t="s">
        <v>47</v>
      </c>
      <c r="B65" s="28" t="s">
        <v>52</v>
      </c>
      <c r="C65" s="21">
        <v>207</v>
      </c>
      <c r="D65" s="19"/>
      <c r="L65" s="20"/>
    </row>
    <row r="66" spans="1:12">
      <c r="A66" s="28" t="s">
        <v>49</v>
      </c>
      <c r="B66" s="28" t="s">
        <v>14</v>
      </c>
      <c r="C66" s="21">
        <v>222</v>
      </c>
      <c r="D66" s="19"/>
      <c r="L66" s="20"/>
    </row>
    <row r="67" spans="1:12">
      <c r="A67" s="28" t="s">
        <v>51</v>
      </c>
      <c r="B67" s="28" t="s">
        <v>78</v>
      </c>
      <c r="C67" s="21">
        <v>279</v>
      </c>
      <c r="D67" s="19"/>
      <c r="L67" s="20"/>
    </row>
    <row r="68" spans="1:12">
      <c r="A68" s="28" t="s">
        <v>53</v>
      </c>
      <c r="B68" s="28" t="s">
        <v>40</v>
      </c>
      <c r="C68" s="21">
        <v>299</v>
      </c>
      <c r="D68" s="19"/>
      <c r="L68" s="20"/>
    </row>
    <row r="69" spans="1:12">
      <c r="A69" s="28" t="s">
        <v>55</v>
      </c>
      <c r="B69" s="28" t="s">
        <v>46</v>
      </c>
      <c r="C69" s="21">
        <v>311</v>
      </c>
      <c r="D69" s="19"/>
      <c r="L69" s="20"/>
    </row>
    <row r="70" spans="1:12">
      <c r="A70" s="28" t="s">
        <v>57</v>
      </c>
      <c r="B70" s="28" t="s">
        <v>42</v>
      </c>
      <c r="C70" s="21">
        <v>332</v>
      </c>
      <c r="D70" s="19"/>
      <c r="L70" s="20"/>
    </row>
    <row r="71" spans="1:12">
      <c r="A71" s="28" t="s">
        <v>59</v>
      </c>
      <c r="B71" s="28" t="s">
        <v>90</v>
      </c>
      <c r="C71" s="21">
        <v>338</v>
      </c>
      <c r="D71" s="19"/>
      <c r="L71" s="20"/>
    </row>
    <row r="72" spans="1:12">
      <c r="A72" s="28" t="s">
        <v>61</v>
      </c>
      <c r="B72" s="28" t="s">
        <v>32</v>
      </c>
      <c r="C72" s="21">
        <v>340</v>
      </c>
      <c r="D72" s="19"/>
      <c r="L72" s="20"/>
    </row>
    <row r="73" spans="1:12">
      <c r="A73" s="28" t="s">
        <v>63</v>
      </c>
      <c r="B73" s="28" t="s">
        <v>62</v>
      </c>
      <c r="C73" s="21">
        <v>410</v>
      </c>
      <c r="D73" s="19"/>
      <c r="L73" s="20"/>
    </row>
    <row r="74" spans="1:12">
      <c r="A74" s="28" t="s">
        <v>65</v>
      </c>
      <c r="B74" s="28" t="s">
        <v>18</v>
      </c>
      <c r="C74" s="21">
        <v>416</v>
      </c>
      <c r="D74" s="19"/>
      <c r="L74" s="20"/>
    </row>
    <row r="75" spans="1:12">
      <c r="A75" s="28" t="s">
        <v>67</v>
      </c>
      <c r="B75" s="28" t="s">
        <v>38</v>
      </c>
      <c r="C75" s="21">
        <v>431</v>
      </c>
      <c r="D75" s="19"/>
      <c r="L75" s="20"/>
    </row>
    <row r="76" spans="1:12">
      <c r="A76" s="28" t="s">
        <v>69</v>
      </c>
      <c r="B76" s="28" t="s">
        <v>16</v>
      </c>
      <c r="C76" s="21">
        <v>470</v>
      </c>
      <c r="D76" s="19"/>
      <c r="L76" s="20"/>
    </row>
    <row r="77" spans="1:12">
      <c r="A77" s="28" t="s">
        <v>71</v>
      </c>
      <c r="B77" s="28" t="s">
        <v>68</v>
      </c>
      <c r="C77" s="21">
        <v>590</v>
      </c>
      <c r="D77" s="19"/>
      <c r="L77" s="20"/>
    </row>
    <row r="78" spans="1:12">
      <c r="A78" s="28" t="s">
        <v>73</v>
      </c>
      <c r="B78" s="28" t="s">
        <v>48</v>
      </c>
      <c r="C78" s="21">
        <v>652</v>
      </c>
      <c r="D78" s="19"/>
      <c r="L78" s="20"/>
    </row>
    <row r="79" spans="1:12">
      <c r="A79" s="28" t="s">
        <v>75</v>
      </c>
      <c r="B79" s="28" t="s">
        <v>66</v>
      </c>
      <c r="C79" s="21">
        <v>679</v>
      </c>
      <c r="D79" s="19"/>
      <c r="L79" s="20"/>
    </row>
    <row r="80" spans="1:12">
      <c r="A80" s="28" t="s">
        <v>77</v>
      </c>
      <c r="B80" s="36" t="s">
        <v>60</v>
      </c>
      <c r="C80" s="22">
        <v>1897</v>
      </c>
      <c r="D80" s="19"/>
      <c r="L80" s="20"/>
    </row>
    <row r="81" spans="1:12">
      <c r="A81" s="46" t="s">
        <v>79</v>
      </c>
      <c r="B81" s="13" t="s">
        <v>80</v>
      </c>
      <c r="C81" s="41">
        <v>1870</v>
      </c>
      <c r="E81" s="17" t="s">
        <v>82</v>
      </c>
      <c r="L81" s="20"/>
    </row>
    <row r="82" spans="1:12">
      <c r="A82" s="51"/>
      <c r="B82" s="52" t="s">
        <v>81</v>
      </c>
      <c r="C82" s="49">
        <f>SUM(C46:C81)</f>
        <v>12098</v>
      </c>
      <c r="D82" s="19"/>
    </row>
    <row r="83" spans="1:12">
      <c r="A83" s="17" t="s">
        <v>82</v>
      </c>
      <c r="B83" s="17"/>
    </row>
    <row r="85" spans="1:12" ht="18.75">
      <c r="A85" s="4" t="s">
        <v>85</v>
      </c>
    </row>
    <row r="86" spans="1:12" ht="30">
      <c r="A86" s="44" t="s">
        <v>4</v>
      </c>
      <c r="B86" s="45" t="s">
        <v>84</v>
      </c>
      <c r="C86" s="44" t="s">
        <v>100</v>
      </c>
    </row>
    <row r="87" spans="1:12">
      <c r="A87" s="25" t="s">
        <v>9</v>
      </c>
      <c r="B87" s="34" t="s">
        <v>72</v>
      </c>
      <c r="C87" s="26">
        <v>10.058675607711651</v>
      </c>
      <c r="D87" s="27"/>
    </row>
    <row r="88" spans="1:12">
      <c r="A88" s="28" t="s">
        <v>11</v>
      </c>
      <c r="B88" s="35" t="s">
        <v>12</v>
      </c>
      <c r="C88" s="29">
        <v>10.225763612217795</v>
      </c>
      <c r="D88" s="27"/>
    </row>
    <row r="89" spans="1:12">
      <c r="A89" s="28" t="s">
        <v>13</v>
      </c>
      <c r="B89" s="35" t="s">
        <v>42</v>
      </c>
      <c r="C89" s="29">
        <v>12.013750678487426</v>
      </c>
      <c r="D89" s="27"/>
    </row>
    <row r="90" spans="1:12">
      <c r="A90" s="28" t="s">
        <v>15</v>
      </c>
      <c r="B90" s="35" t="s">
        <v>76</v>
      </c>
      <c r="C90" s="29">
        <v>12.291831879460744</v>
      </c>
      <c r="D90" s="27"/>
    </row>
    <row r="91" spans="1:12">
      <c r="A91" s="28" t="s">
        <v>17</v>
      </c>
      <c r="B91" s="35" t="s">
        <v>56</v>
      </c>
      <c r="C91" s="29">
        <v>12.614011255579275</v>
      </c>
      <c r="D91" s="27"/>
    </row>
    <row r="92" spans="1:12">
      <c r="A92" s="28" t="s">
        <v>19</v>
      </c>
      <c r="B92" s="35" t="s">
        <v>62</v>
      </c>
      <c r="C92" s="29">
        <v>13.978861234231163</v>
      </c>
      <c r="D92" s="27"/>
    </row>
    <row r="93" spans="1:12">
      <c r="A93" s="28" t="s">
        <v>21</v>
      </c>
      <c r="B93" s="35" t="s">
        <v>16</v>
      </c>
      <c r="C93" s="29">
        <v>15.111082532231618</v>
      </c>
      <c r="D93" s="27"/>
    </row>
    <row r="94" spans="1:12">
      <c r="A94" s="28" t="s">
        <v>23</v>
      </c>
      <c r="B94" s="35" t="s">
        <v>74</v>
      </c>
      <c r="C94" s="29">
        <v>16.2936012022463</v>
      </c>
      <c r="D94" s="27"/>
    </row>
    <row r="95" spans="1:12">
      <c r="A95" s="28" t="s">
        <v>25</v>
      </c>
      <c r="B95" s="35" t="s">
        <v>58</v>
      </c>
      <c r="C95" s="29">
        <v>16.890162759750233</v>
      </c>
      <c r="D95" s="27"/>
    </row>
    <row r="96" spans="1:12">
      <c r="A96" s="28" t="s">
        <v>27</v>
      </c>
      <c r="B96" s="35" t="s">
        <v>52</v>
      </c>
      <c r="C96" s="29">
        <v>17.056690837178643</v>
      </c>
      <c r="D96" s="27"/>
    </row>
    <row r="97" spans="1:4">
      <c r="A97" s="28" t="s">
        <v>29</v>
      </c>
      <c r="B97" s="35" t="s">
        <v>18</v>
      </c>
      <c r="C97" s="29">
        <v>17.859442751041087</v>
      </c>
      <c r="D97" s="27"/>
    </row>
    <row r="98" spans="1:4">
      <c r="A98" s="28" t="s">
        <v>31</v>
      </c>
      <c r="B98" s="35" t="s">
        <v>40</v>
      </c>
      <c r="C98" s="29">
        <v>18.456790123456791</v>
      </c>
      <c r="D98" s="27"/>
    </row>
    <row r="99" spans="1:4">
      <c r="A99" s="10" t="s">
        <v>33</v>
      </c>
      <c r="B99" s="35" t="s">
        <v>78</v>
      </c>
      <c r="C99" s="29">
        <v>18.623589880515318</v>
      </c>
      <c r="D99" s="27"/>
    </row>
    <row r="100" spans="1:4">
      <c r="A100" s="28" t="s">
        <v>35</v>
      </c>
      <c r="B100" s="35" t="s">
        <v>10</v>
      </c>
      <c r="C100" s="29">
        <v>19.007881316643488</v>
      </c>
      <c r="D100" s="27"/>
    </row>
    <row r="101" spans="1:4">
      <c r="A101" s="28" t="s">
        <v>37</v>
      </c>
      <c r="B101" s="35" t="s">
        <v>36</v>
      </c>
      <c r="C101" s="29">
        <v>19.790614381485902</v>
      </c>
      <c r="D101" s="27"/>
    </row>
    <row r="102" spans="1:4">
      <c r="A102" s="28" t="s">
        <v>39</v>
      </c>
      <c r="B102" s="35" t="s">
        <v>14</v>
      </c>
      <c r="C102" s="29">
        <v>19.949676491732568</v>
      </c>
      <c r="D102" s="27"/>
    </row>
    <row r="103" spans="1:4">
      <c r="A103" s="28" t="s">
        <v>41</v>
      </c>
      <c r="B103" s="35" t="s">
        <v>20</v>
      </c>
      <c r="C103" s="29">
        <v>20.408163265306122</v>
      </c>
      <c r="D103" s="27"/>
    </row>
    <row r="104" spans="1:4">
      <c r="A104" s="28" t="s">
        <v>43</v>
      </c>
      <c r="B104" s="35" t="s">
        <v>46</v>
      </c>
      <c r="C104" s="29">
        <v>20.455143383320181</v>
      </c>
      <c r="D104" s="27"/>
    </row>
    <row r="105" spans="1:4">
      <c r="A105" s="28" t="s">
        <v>45</v>
      </c>
      <c r="B105" s="35" t="s">
        <v>54</v>
      </c>
      <c r="C105" s="29">
        <v>20.903010033444815</v>
      </c>
      <c r="D105" s="27"/>
    </row>
    <row r="106" spans="1:4">
      <c r="A106" s="28" t="s">
        <v>47</v>
      </c>
      <c r="B106" s="35" t="s">
        <v>32</v>
      </c>
      <c r="C106" s="29">
        <v>23.061792036898868</v>
      </c>
      <c r="D106" s="27"/>
    </row>
    <row r="107" spans="1:4">
      <c r="A107" s="28" t="s">
        <v>49</v>
      </c>
      <c r="B107" s="35" t="s">
        <v>30</v>
      </c>
      <c r="C107" s="29">
        <v>23.196768609347949</v>
      </c>
      <c r="D107" s="27"/>
    </row>
    <row r="108" spans="1:4">
      <c r="A108" s="28" t="s">
        <v>51</v>
      </c>
      <c r="B108" s="35" t="s">
        <v>70</v>
      </c>
      <c r="C108" s="29">
        <v>23.845918679302965</v>
      </c>
      <c r="D108" s="27"/>
    </row>
    <row r="109" spans="1:4">
      <c r="A109" s="28" t="s">
        <v>53</v>
      </c>
      <c r="B109" s="35" t="s">
        <v>48</v>
      </c>
      <c r="C109" s="29">
        <v>25.992664646786796</v>
      </c>
      <c r="D109" s="27"/>
    </row>
    <row r="110" spans="1:4">
      <c r="A110" s="28" t="s">
        <v>55</v>
      </c>
      <c r="B110" s="35" t="s">
        <v>38</v>
      </c>
      <c r="C110" s="29">
        <v>26.22594661700807</v>
      </c>
      <c r="D110" s="27"/>
    </row>
    <row r="111" spans="1:4">
      <c r="A111" s="28" t="s">
        <v>57</v>
      </c>
      <c r="B111" s="35" t="s">
        <v>34</v>
      </c>
      <c r="C111" s="29">
        <v>26.524285222183945</v>
      </c>
      <c r="D111" s="27"/>
    </row>
    <row r="112" spans="1:4">
      <c r="A112" s="28" t="s">
        <v>59</v>
      </c>
      <c r="B112" s="35" t="s">
        <v>64</v>
      </c>
      <c r="C112" s="29">
        <v>26.938775510204081</v>
      </c>
      <c r="D112" s="27"/>
    </row>
    <row r="113" spans="1:5">
      <c r="A113" s="28" t="s">
        <v>61</v>
      </c>
      <c r="B113" s="35" t="s">
        <v>22</v>
      </c>
      <c r="C113" s="29">
        <v>27.40524781341108</v>
      </c>
      <c r="D113" s="27"/>
    </row>
    <row r="114" spans="1:5">
      <c r="A114" s="28" t="s">
        <v>63</v>
      </c>
      <c r="B114" s="35" t="s">
        <v>68</v>
      </c>
      <c r="C114" s="29">
        <v>27.766012518236153</v>
      </c>
      <c r="D114" s="27"/>
    </row>
    <row r="115" spans="1:5">
      <c r="A115" s="28" t="s">
        <v>65</v>
      </c>
      <c r="B115" s="35" t="s">
        <v>26</v>
      </c>
      <c r="C115" s="29">
        <v>30.924425334876798</v>
      </c>
      <c r="D115" s="27"/>
    </row>
    <row r="116" spans="1:5">
      <c r="A116" s="28" t="s">
        <v>67</v>
      </c>
      <c r="B116" s="35" t="s">
        <v>66</v>
      </c>
      <c r="C116" s="29">
        <v>30.92548733831299</v>
      </c>
      <c r="D116" s="27"/>
    </row>
    <row r="117" spans="1:5">
      <c r="A117" s="10" t="s">
        <v>69</v>
      </c>
      <c r="B117" s="27" t="s">
        <v>44</v>
      </c>
      <c r="C117" s="29">
        <v>34.896401308615047</v>
      </c>
      <c r="D117" s="27"/>
    </row>
    <row r="118" spans="1:5">
      <c r="A118" s="28" t="s">
        <v>71</v>
      </c>
      <c r="B118" s="35" t="s">
        <v>28</v>
      </c>
      <c r="C118" s="29">
        <v>46.422487223168659</v>
      </c>
      <c r="D118" s="27"/>
    </row>
    <row r="119" spans="1:5">
      <c r="A119" s="28" t="s">
        <v>73</v>
      </c>
      <c r="B119" s="35" t="s">
        <v>24</v>
      </c>
      <c r="C119" s="29">
        <v>73.9051094890511</v>
      </c>
      <c r="D119" s="27"/>
    </row>
    <row r="120" spans="1:5">
      <c r="A120" s="28" t="s">
        <v>75</v>
      </c>
      <c r="B120" s="35" t="s">
        <v>60</v>
      </c>
      <c r="C120" s="29">
        <v>78.521461981042265</v>
      </c>
      <c r="D120" s="27"/>
    </row>
    <row r="121" spans="1:5">
      <c r="A121" s="28" t="s">
        <v>77</v>
      </c>
      <c r="B121" s="35" t="s">
        <v>50</v>
      </c>
      <c r="C121" s="33">
        <v>85.487077534791254</v>
      </c>
      <c r="D121" s="27"/>
    </row>
    <row r="122" spans="1:5">
      <c r="A122" s="31"/>
      <c r="B122" s="57"/>
      <c r="C122" s="57"/>
      <c r="E122" s="17" t="s">
        <v>82</v>
      </c>
    </row>
    <row r="123" spans="1:5">
      <c r="A123" s="51"/>
      <c r="B123" s="53" t="s">
        <v>81</v>
      </c>
      <c r="C123" s="64">
        <v>27.974000689060357</v>
      </c>
      <c r="D123" s="19"/>
    </row>
    <row r="124" spans="1:5">
      <c r="A124" s="17" t="s">
        <v>82</v>
      </c>
    </row>
    <row r="128" spans="1:5" ht="90.6" customHeight="1"/>
  </sheetData>
  <dataConsolidate/>
  <conditionalFormatting sqref="D12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7:D121 C122">
    <cfRule type="colorScale" priority="4">
      <colorScale>
        <cfvo type="min"/>
        <cfvo type="percentile" val="50"/>
        <cfvo type="max"/>
        <color theme="3" tint="9.9978637043366805E-2"/>
        <color theme="3" tint="0.89999084444715716"/>
        <color rgb="FFFF0000"/>
      </colorScale>
    </cfRule>
  </conditionalFormatting>
  <conditionalFormatting sqref="D8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6:D80">
    <cfRule type="colorScale" priority="2">
      <colorScale>
        <cfvo type="min"/>
        <cfvo type="percentile" val="50"/>
        <cfvo type="max"/>
        <color theme="3" tint="0.249977111117893"/>
        <color theme="3" tint="0.89999084444715716"/>
        <color rgb="FFFF0000"/>
      </colorScale>
    </cfRule>
  </conditionalFormatting>
  <hyperlinks>
    <hyperlink ref="A3:B3" location="UWAGA!A1" display="UWAGA: wyjaśnienia metodologiczne" xr:uid="{E5B645FE-03E1-4999-9237-C79DE79AC289}"/>
  </hyperlinks>
  <pageMargins left="0.31496062992125984" right="0.31496062992125984" top="0.74803149606299213" bottom="0.74803149606299213" header="0.31496062992125984" footer="0.31496062992125984"/>
  <pageSetup paperSize="9" scale="49" orientation="landscape" r:id="rId1"/>
  <headerFooter>
    <oddHeader>&amp;LGDAŃSK W LICZBACH / BEZPIECZEŃSTWO
&amp;F&amp;R&amp;D</oddHeader>
    <oddFooter>&amp;L&amp;"-,Kursywa"&amp;8Opracowanie: Referat Badań i Analiz Społeczno-Gospodarczych, WPG, UMG&amp;R&amp;"-,Kursywa"&amp;8www.gdansk.pl/gdanskwliczbach</oddFooter>
  </headerFooter>
  <rowBreaks count="4" manualBreakCount="4">
    <brk id="1" max="16383" man="1"/>
    <brk id="42" max="16383" man="1"/>
    <brk id="83" max="16383" man="1"/>
    <brk id="124" max="16383" man="1"/>
  </rowBreaks>
  <colBreaks count="1" manualBreakCount="1">
    <brk id="25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EA99-06A1-4EF3-B7C9-20D3D7755EDB}">
  <dimension ref="A1:L128"/>
  <sheetViews>
    <sheetView showGridLines="0" tabSelected="1" zoomScale="90" zoomScaleNormal="90" workbookViewId="0"/>
  </sheetViews>
  <sheetFormatPr defaultColWidth="43" defaultRowHeight="15"/>
  <cols>
    <col min="1" max="1" width="3.5703125" style="5" customWidth="1"/>
    <col min="2" max="2" width="56.85546875" style="5" customWidth="1"/>
    <col min="3" max="3" width="32.28515625" style="5" customWidth="1"/>
    <col min="4" max="4" width="18.85546875" style="5" customWidth="1"/>
    <col min="5" max="5" width="25.42578125" style="5" customWidth="1"/>
    <col min="6" max="6" width="20.28515625" style="5" customWidth="1"/>
    <col min="7" max="7" width="18.85546875" style="5" customWidth="1"/>
    <col min="8" max="8" width="28.140625" style="5" customWidth="1"/>
    <col min="9" max="9" width="26.85546875" style="5" customWidth="1"/>
    <col min="10" max="10" width="19.28515625" style="5" customWidth="1"/>
    <col min="11" max="11" width="22.28515625" style="5" customWidth="1"/>
    <col min="12" max="12" width="18" style="5" customWidth="1"/>
    <col min="13" max="13" width="17.28515625" style="5" customWidth="1"/>
    <col min="14" max="14" width="16.85546875" style="5" customWidth="1"/>
    <col min="15" max="15" width="20" style="5" customWidth="1"/>
    <col min="16" max="16" width="14.7109375" style="5" customWidth="1"/>
    <col min="17" max="17" width="16.7109375" style="5" customWidth="1"/>
    <col min="18" max="18" width="15.85546875" style="5" customWidth="1"/>
    <col min="19" max="19" width="17.140625" style="5" customWidth="1"/>
    <col min="20" max="20" width="19.5703125" style="5" customWidth="1"/>
    <col min="21" max="21" width="17.28515625" style="5" customWidth="1"/>
    <col min="22" max="22" width="17.5703125" style="5" customWidth="1"/>
    <col min="23" max="23" width="14.5703125" style="5" customWidth="1"/>
    <col min="24" max="24" width="13.7109375" style="5" customWidth="1"/>
    <col min="25" max="25" width="14.140625" style="5" customWidth="1"/>
    <col min="26" max="26" width="15.28515625" style="5" customWidth="1"/>
    <col min="27" max="242" width="9.140625" style="5" customWidth="1"/>
    <col min="243" max="16384" width="43" style="5"/>
  </cols>
  <sheetData>
    <row r="1" spans="1:11" customFormat="1" ht="3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8.75">
      <c r="A2" s="4" t="s">
        <v>2</v>
      </c>
    </row>
    <row r="3" spans="1:11" ht="15.75">
      <c r="A3" s="54" t="s">
        <v>3</v>
      </c>
      <c r="B3" s="55"/>
      <c r="C3" s="56"/>
      <c r="D3" s="56"/>
      <c r="E3" s="56"/>
    </row>
    <row r="4" spans="1:11" ht="33.6" customHeight="1">
      <c r="A4" s="44" t="s">
        <v>4</v>
      </c>
      <c r="B4" s="44" t="s">
        <v>5</v>
      </c>
      <c r="C4" s="44" t="s">
        <v>101</v>
      </c>
      <c r="D4" s="44" t="s">
        <v>102</v>
      </c>
      <c r="E4" s="44" t="s">
        <v>103</v>
      </c>
    </row>
    <row r="5" spans="1:11">
      <c r="A5" s="7" t="s">
        <v>9</v>
      </c>
      <c r="B5" s="6" t="s">
        <v>10</v>
      </c>
      <c r="C5" s="8">
        <v>210</v>
      </c>
      <c r="D5" s="8">
        <v>4223</v>
      </c>
      <c r="E5" s="42">
        <f t="shared" ref="E5:E39" si="0">C5/D5*1000</f>
        <v>49.727681742836843</v>
      </c>
      <c r="F5" s="27"/>
      <c r="G5" s="9"/>
      <c r="H5" s="19"/>
      <c r="I5" s="19"/>
    </row>
    <row r="6" spans="1:11">
      <c r="A6" s="7" t="s">
        <v>11</v>
      </c>
      <c r="B6" s="6" t="s">
        <v>12</v>
      </c>
      <c r="C6" s="8">
        <v>236</v>
      </c>
      <c r="D6" s="8">
        <v>7446</v>
      </c>
      <c r="E6" s="42">
        <f t="shared" si="0"/>
        <v>31.694869728713403</v>
      </c>
      <c r="F6" s="27"/>
      <c r="H6" s="19"/>
      <c r="I6" s="19"/>
    </row>
    <row r="7" spans="1:11" ht="15" customHeight="1">
      <c r="A7" s="7" t="s">
        <v>13</v>
      </c>
      <c r="B7" s="6" t="s">
        <v>14</v>
      </c>
      <c r="C7" s="8">
        <v>255</v>
      </c>
      <c r="D7" s="8">
        <v>10938</v>
      </c>
      <c r="E7" s="42">
        <f t="shared" si="0"/>
        <v>23.313219967087218</v>
      </c>
      <c r="F7" s="27"/>
      <c r="G7" s="11"/>
      <c r="H7" s="19"/>
      <c r="I7" s="19"/>
    </row>
    <row r="8" spans="1:11">
      <c r="A8" s="7" t="s">
        <v>15</v>
      </c>
      <c r="B8" s="6" t="s">
        <v>16</v>
      </c>
      <c r="C8" s="8">
        <v>370</v>
      </c>
      <c r="D8" s="8">
        <v>30743</v>
      </c>
      <c r="E8" s="42">
        <f t="shared" si="0"/>
        <v>12.035260059200468</v>
      </c>
      <c r="F8" s="27"/>
      <c r="G8" s="11"/>
      <c r="H8" s="19"/>
      <c r="I8" s="19"/>
    </row>
    <row r="9" spans="1:11">
      <c r="A9" s="7" t="s">
        <v>17</v>
      </c>
      <c r="B9" s="6" t="s">
        <v>18</v>
      </c>
      <c r="C9" s="8">
        <v>503</v>
      </c>
      <c r="D9" s="8">
        <v>24307</v>
      </c>
      <c r="E9" s="42">
        <f t="shared" si="0"/>
        <v>20.693627350146048</v>
      </c>
      <c r="F9" s="27"/>
      <c r="G9" s="11"/>
      <c r="H9" s="19"/>
      <c r="I9" s="19"/>
    </row>
    <row r="10" spans="1:11">
      <c r="A10" s="7" t="s">
        <v>19</v>
      </c>
      <c r="B10" s="6" t="s">
        <v>20</v>
      </c>
      <c r="C10" s="8">
        <v>241</v>
      </c>
      <c r="D10" s="8">
        <v>10420</v>
      </c>
      <c r="E10" s="42">
        <f t="shared" si="0"/>
        <v>23.128598848368522</v>
      </c>
      <c r="F10" s="27"/>
      <c r="G10" s="11"/>
      <c r="H10" s="19"/>
      <c r="I10" s="19"/>
    </row>
    <row r="11" spans="1:11">
      <c r="A11" s="7" t="s">
        <v>21</v>
      </c>
      <c r="B11" s="6" t="s">
        <v>22</v>
      </c>
      <c r="C11" s="8">
        <v>74</v>
      </c>
      <c r="D11" s="8">
        <v>1661</v>
      </c>
      <c r="E11" s="42">
        <f t="shared" si="0"/>
        <v>44.551475015051174</v>
      </c>
      <c r="F11" s="27"/>
      <c r="G11" s="11"/>
      <c r="H11" s="19"/>
      <c r="I11" s="19"/>
    </row>
    <row r="12" spans="1:11">
      <c r="A12" s="7" t="s">
        <v>23</v>
      </c>
      <c r="B12" s="6" t="s">
        <v>24</v>
      </c>
      <c r="C12" s="8">
        <v>222</v>
      </c>
      <c r="D12" s="8">
        <v>2622</v>
      </c>
      <c r="E12" s="42">
        <f t="shared" si="0"/>
        <v>84.668192219679639</v>
      </c>
      <c r="F12" s="27"/>
      <c r="G12" s="11"/>
      <c r="H12" s="19"/>
      <c r="I12" s="19"/>
    </row>
    <row r="13" spans="1:11">
      <c r="A13" s="7" t="s">
        <v>25</v>
      </c>
      <c r="B13" s="6" t="s">
        <v>26</v>
      </c>
      <c r="C13" s="8">
        <v>128</v>
      </c>
      <c r="D13" s="8">
        <v>6052</v>
      </c>
      <c r="E13" s="42">
        <f t="shared" si="0"/>
        <v>21.150033046926634</v>
      </c>
      <c r="F13" s="27"/>
      <c r="G13" s="11"/>
      <c r="H13" s="19"/>
      <c r="I13" s="19"/>
    </row>
    <row r="14" spans="1:11">
      <c r="A14" s="7" t="s">
        <v>27</v>
      </c>
      <c r="B14" s="6" t="s">
        <v>28</v>
      </c>
      <c r="C14" s="8">
        <v>112</v>
      </c>
      <c r="D14" s="8">
        <v>2278</v>
      </c>
      <c r="E14" s="42">
        <f t="shared" si="0"/>
        <v>49.165935030728711</v>
      </c>
      <c r="F14" s="27"/>
      <c r="G14" s="11"/>
      <c r="H14" s="19"/>
      <c r="I14" s="19"/>
    </row>
    <row r="15" spans="1:11">
      <c r="A15" s="7" t="s">
        <v>29</v>
      </c>
      <c r="B15" s="6" t="s">
        <v>30</v>
      </c>
      <c r="C15" s="8">
        <v>225</v>
      </c>
      <c r="D15" s="8">
        <v>8465</v>
      </c>
      <c r="E15" s="42">
        <f t="shared" si="0"/>
        <v>26.580035440047254</v>
      </c>
      <c r="F15" s="27"/>
      <c r="G15" s="11"/>
      <c r="H15" s="19"/>
      <c r="I15" s="19"/>
    </row>
    <row r="16" spans="1:11">
      <c r="A16" s="7" t="s">
        <v>31</v>
      </c>
      <c r="B16" s="6" t="s">
        <v>32</v>
      </c>
      <c r="C16" s="8">
        <v>379</v>
      </c>
      <c r="D16" s="8">
        <v>14618</v>
      </c>
      <c r="E16" s="42">
        <f t="shared" si="0"/>
        <v>25.926939389793404</v>
      </c>
      <c r="F16" s="27"/>
      <c r="G16" s="11"/>
      <c r="H16" s="19"/>
      <c r="I16" s="19"/>
    </row>
    <row r="17" spans="1:9">
      <c r="A17" s="7" t="s">
        <v>33</v>
      </c>
      <c r="B17" s="6" t="s">
        <v>34</v>
      </c>
      <c r="C17" s="8">
        <v>102</v>
      </c>
      <c r="D17" s="8">
        <v>2856</v>
      </c>
      <c r="E17" s="42">
        <f t="shared" si="0"/>
        <v>35.714285714285715</v>
      </c>
      <c r="F17" s="27"/>
      <c r="G17" s="11"/>
      <c r="H17" s="19"/>
      <c r="I17" s="19"/>
    </row>
    <row r="18" spans="1:9">
      <c r="A18" s="7" t="s">
        <v>35</v>
      </c>
      <c r="B18" s="6" t="s">
        <v>36</v>
      </c>
      <c r="C18" s="8">
        <v>678</v>
      </c>
      <c r="D18" s="8">
        <v>22766</v>
      </c>
      <c r="E18" s="42">
        <f t="shared" si="0"/>
        <v>29.781252745321972</v>
      </c>
      <c r="F18" s="27"/>
      <c r="G18" s="11"/>
      <c r="H18" s="19"/>
      <c r="I18" s="19"/>
    </row>
    <row r="19" spans="1:9">
      <c r="A19" s="7" t="s">
        <v>37</v>
      </c>
      <c r="B19" s="6" t="s">
        <v>38</v>
      </c>
      <c r="C19" s="8">
        <v>474</v>
      </c>
      <c r="D19" s="8">
        <v>12705</v>
      </c>
      <c r="E19" s="42">
        <f t="shared" si="0"/>
        <v>37.308146399055488</v>
      </c>
      <c r="F19" s="27"/>
      <c r="G19" s="11"/>
      <c r="H19" s="19"/>
      <c r="I19" s="19"/>
    </row>
    <row r="20" spans="1:9">
      <c r="A20" s="7" t="s">
        <v>39</v>
      </c>
      <c r="B20" s="6" t="s">
        <v>40</v>
      </c>
      <c r="C20" s="8">
        <v>321</v>
      </c>
      <c r="D20" s="8">
        <v>16247</v>
      </c>
      <c r="E20" s="42">
        <f t="shared" si="0"/>
        <v>19.757493691142979</v>
      </c>
      <c r="F20" s="27"/>
      <c r="G20" s="11"/>
      <c r="H20" s="19"/>
      <c r="I20" s="19"/>
    </row>
    <row r="21" spans="1:9">
      <c r="A21" s="7" t="s">
        <v>41</v>
      </c>
      <c r="B21" s="6" t="s">
        <v>42</v>
      </c>
      <c r="C21" s="8">
        <v>312</v>
      </c>
      <c r="D21" s="8">
        <v>27173</v>
      </c>
      <c r="E21" s="42">
        <f t="shared" si="0"/>
        <v>11.481985794722704</v>
      </c>
      <c r="F21" s="27"/>
      <c r="G21" s="11"/>
      <c r="H21" s="19"/>
      <c r="I21" s="19"/>
    </row>
    <row r="22" spans="1:9">
      <c r="A22" s="7" t="s">
        <v>43</v>
      </c>
      <c r="B22" s="6" t="s">
        <v>44</v>
      </c>
      <c r="C22" s="8">
        <v>169</v>
      </c>
      <c r="D22" s="8">
        <v>3585</v>
      </c>
      <c r="E22" s="42">
        <f t="shared" si="0"/>
        <v>47.140864714086469</v>
      </c>
      <c r="F22" s="27"/>
      <c r="G22" s="11"/>
      <c r="H22" s="19"/>
      <c r="I22" s="19"/>
    </row>
    <row r="23" spans="1:9">
      <c r="A23" s="7" t="s">
        <v>45</v>
      </c>
      <c r="B23" s="6" t="s">
        <v>46</v>
      </c>
      <c r="C23" s="8">
        <v>633</v>
      </c>
      <c r="D23" s="8">
        <v>14912</v>
      </c>
      <c r="E23" s="42">
        <f t="shared" si="0"/>
        <v>42.449034334763951</v>
      </c>
      <c r="F23" s="27"/>
      <c r="G23" s="11"/>
      <c r="H23" s="19"/>
      <c r="I23" s="19"/>
    </row>
    <row r="24" spans="1:9">
      <c r="A24" s="7" t="s">
        <v>47</v>
      </c>
      <c r="B24" s="6" t="s">
        <v>48</v>
      </c>
      <c r="C24" s="8">
        <v>310</v>
      </c>
      <c r="D24" s="8">
        <v>24368</v>
      </c>
      <c r="E24" s="42">
        <f t="shared" si="0"/>
        <v>12.721602101116218</v>
      </c>
      <c r="F24" s="27"/>
      <c r="G24" s="11"/>
      <c r="H24" s="19"/>
      <c r="I24" s="19"/>
    </row>
    <row r="25" spans="1:9">
      <c r="A25" s="7" t="s">
        <v>49</v>
      </c>
      <c r="B25" s="6" t="s">
        <v>50</v>
      </c>
      <c r="C25" s="8">
        <v>171</v>
      </c>
      <c r="D25" s="8">
        <v>954</v>
      </c>
      <c r="E25" s="42">
        <f t="shared" si="0"/>
        <v>179.24528301886792</v>
      </c>
      <c r="F25" s="27"/>
      <c r="G25" s="11"/>
      <c r="H25" s="19"/>
      <c r="I25" s="19"/>
    </row>
    <row r="26" spans="1:9">
      <c r="A26" s="7" t="s">
        <v>51</v>
      </c>
      <c r="B26" s="6" t="s">
        <v>52</v>
      </c>
      <c r="C26" s="8">
        <v>362</v>
      </c>
      <c r="D26" s="8">
        <v>12473</v>
      </c>
      <c r="E26" s="42">
        <f t="shared" si="0"/>
        <v>29.022689008257835</v>
      </c>
      <c r="F26" s="27"/>
      <c r="G26" s="11"/>
      <c r="H26" s="19"/>
      <c r="I26" s="19"/>
    </row>
    <row r="27" spans="1:9">
      <c r="A27" s="7" t="s">
        <v>53</v>
      </c>
      <c r="B27" s="6" t="s">
        <v>54</v>
      </c>
      <c r="C27" s="8">
        <v>210</v>
      </c>
      <c r="D27" s="8">
        <v>9375</v>
      </c>
      <c r="E27" s="42">
        <f t="shared" si="0"/>
        <v>22.4</v>
      </c>
      <c r="F27" s="27"/>
      <c r="G27" s="11"/>
      <c r="H27" s="19"/>
      <c r="I27" s="19"/>
    </row>
    <row r="28" spans="1:9">
      <c r="A28" s="7" t="s">
        <v>55</v>
      </c>
      <c r="B28" s="6" t="s">
        <v>56</v>
      </c>
      <c r="C28" s="8">
        <v>78</v>
      </c>
      <c r="D28" s="8">
        <v>5086</v>
      </c>
      <c r="E28" s="42">
        <f t="shared" si="0"/>
        <v>15.336217066456939</v>
      </c>
      <c r="F28" s="27"/>
      <c r="H28" s="19"/>
      <c r="I28" s="19"/>
    </row>
    <row r="29" spans="1:9">
      <c r="A29" s="7" t="s">
        <v>57</v>
      </c>
      <c r="B29" s="6" t="s">
        <v>58</v>
      </c>
      <c r="C29" s="8">
        <v>134</v>
      </c>
      <c r="D29" s="8">
        <v>9587</v>
      </c>
      <c r="E29" s="42">
        <f t="shared" si="0"/>
        <v>13.977260874100343</v>
      </c>
      <c r="F29" s="27"/>
      <c r="H29" s="19"/>
      <c r="I29" s="19"/>
    </row>
    <row r="30" spans="1:9">
      <c r="A30" s="7" t="s">
        <v>59</v>
      </c>
      <c r="B30" s="6" t="s">
        <v>60</v>
      </c>
      <c r="C30" s="8">
        <v>1700</v>
      </c>
      <c r="D30" s="8">
        <v>23364</v>
      </c>
      <c r="E30" s="42">
        <f t="shared" si="0"/>
        <v>72.761513439479529</v>
      </c>
      <c r="F30" s="27"/>
      <c r="H30" s="19"/>
      <c r="I30" s="19"/>
    </row>
    <row r="31" spans="1:9">
      <c r="A31" s="7" t="s">
        <v>61</v>
      </c>
      <c r="B31" s="6" t="s">
        <v>62</v>
      </c>
      <c r="C31" s="8">
        <v>463</v>
      </c>
      <c r="D31" s="8">
        <v>29849</v>
      </c>
      <c r="E31" s="42">
        <f t="shared" si="0"/>
        <v>15.511407417333913</v>
      </c>
      <c r="F31" s="27"/>
      <c r="H31" s="19"/>
      <c r="I31" s="19"/>
    </row>
    <row r="32" spans="1:9">
      <c r="A32" s="7" t="s">
        <v>63</v>
      </c>
      <c r="B32" s="6" t="s">
        <v>64</v>
      </c>
      <c r="C32" s="8">
        <v>80</v>
      </c>
      <c r="D32" s="8">
        <v>3808</v>
      </c>
      <c r="E32" s="42">
        <f t="shared" si="0"/>
        <v>21.008403361344538</v>
      </c>
      <c r="F32" s="27"/>
      <c r="H32" s="19"/>
      <c r="I32" s="19"/>
    </row>
    <row r="33" spans="1:12">
      <c r="A33" s="7" t="s">
        <v>65</v>
      </c>
      <c r="B33" s="6" t="s">
        <v>66</v>
      </c>
      <c r="C33" s="8">
        <v>617</v>
      </c>
      <c r="D33" s="8">
        <v>21648</v>
      </c>
      <c r="E33" s="42">
        <f t="shared" si="0"/>
        <v>28.501478196600146</v>
      </c>
      <c r="F33" s="27"/>
      <c r="H33" s="19"/>
      <c r="I33" s="19"/>
    </row>
    <row r="34" spans="1:12">
      <c r="A34" s="7" t="s">
        <v>67</v>
      </c>
      <c r="B34" s="6" t="s">
        <v>68</v>
      </c>
      <c r="C34" s="8">
        <v>915</v>
      </c>
      <c r="D34" s="8">
        <v>20810</v>
      </c>
      <c r="E34" s="42">
        <f t="shared" si="0"/>
        <v>43.969245555021622</v>
      </c>
      <c r="F34" s="27"/>
      <c r="H34" s="19"/>
      <c r="I34" s="19"/>
    </row>
    <row r="35" spans="1:12">
      <c r="A35" s="7" t="s">
        <v>69</v>
      </c>
      <c r="B35" s="6" t="s">
        <v>70</v>
      </c>
      <c r="C35" s="8">
        <v>105</v>
      </c>
      <c r="D35" s="8">
        <v>3255</v>
      </c>
      <c r="E35" s="42">
        <f t="shared" si="0"/>
        <v>32.258064516129032</v>
      </c>
      <c r="F35" s="27"/>
      <c r="H35" s="19"/>
      <c r="I35" s="19"/>
    </row>
    <row r="36" spans="1:12">
      <c r="A36" s="7" t="s">
        <v>71</v>
      </c>
      <c r="B36" s="6" t="s">
        <v>72</v>
      </c>
      <c r="C36" s="8">
        <v>31</v>
      </c>
      <c r="D36" s="8">
        <v>2375</v>
      </c>
      <c r="E36" s="42">
        <f t="shared" si="0"/>
        <v>13.052631578947368</v>
      </c>
      <c r="F36" s="27"/>
      <c r="H36" s="19"/>
      <c r="I36" s="19"/>
    </row>
    <row r="37" spans="1:12">
      <c r="A37" s="7" t="s">
        <v>73</v>
      </c>
      <c r="B37" s="6" t="s">
        <v>74</v>
      </c>
      <c r="C37" s="8">
        <v>202</v>
      </c>
      <c r="D37" s="8">
        <v>12376</v>
      </c>
      <c r="E37" s="42">
        <f t="shared" si="0"/>
        <v>16.321913380736913</v>
      </c>
      <c r="F37" s="27"/>
      <c r="H37" s="19"/>
      <c r="I37" s="19"/>
    </row>
    <row r="38" spans="1:12">
      <c r="A38" s="7" t="s">
        <v>75</v>
      </c>
      <c r="B38" s="6" t="s">
        <v>76</v>
      </c>
      <c r="C38" s="8">
        <v>215</v>
      </c>
      <c r="D38" s="8">
        <v>12446</v>
      </c>
      <c r="E38" s="42">
        <f t="shared" si="0"/>
        <v>17.274626385987464</v>
      </c>
      <c r="F38" s="27"/>
      <c r="H38" s="19"/>
      <c r="I38" s="19"/>
    </row>
    <row r="39" spans="1:12">
      <c r="A39" s="7" t="s">
        <v>77</v>
      </c>
      <c r="B39" s="6" t="s">
        <v>78</v>
      </c>
      <c r="C39" s="8">
        <v>161</v>
      </c>
      <c r="D39" s="8">
        <v>14540</v>
      </c>
      <c r="E39" s="42">
        <f t="shared" si="0"/>
        <v>11.072902338376892</v>
      </c>
      <c r="F39" s="27"/>
      <c r="H39" s="19"/>
      <c r="I39" s="19"/>
    </row>
    <row r="40" spans="1:12">
      <c r="A40" s="40" t="s">
        <v>79</v>
      </c>
      <c r="B40" s="13" t="s">
        <v>80</v>
      </c>
      <c r="C40" s="41">
        <v>246</v>
      </c>
      <c r="D40" s="15" t="s">
        <v>79</v>
      </c>
      <c r="E40" s="43" t="s">
        <v>79</v>
      </c>
      <c r="F40" s="9"/>
      <c r="I40" s="19"/>
    </row>
    <row r="41" spans="1:12">
      <c r="A41" s="47"/>
      <c r="B41" s="48" t="s">
        <v>81</v>
      </c>
      <c r="C41" s="49">
        <f>SUM(C5:C40)</f>
        <v>11644</v>
      </c>
      <c r="D41" s="49">
        <f>SUM(D5:D39)</f>
        <v>430331</v>
      </c>
      <c r="E41" s="50">
        <f>C41/D41*1000</f>
        <v>27.058241214321068</v>
      </c>
      <c r="F41" s="9"/>
    </row>
    <row r="42" spans="1:12">
      <c r="A42" s="17" t="s">
        <v>82</v>
      </c>
      <c r="B42" s="17"/>
    </row>
    <row r="43" spans="1:12" ht="15.75" customHeight="1"/>
    <row r="44" spans="1:12" ht="18.75">
      <c r="A44" s="4" t="s">
        <v>83</v>
      </c>
    </row>
    <row r="45" spans="1:12" ht="26.45" customHeight="1">
      <c r="A45" s="44" t="s">
        <v>4</v>
      </c>
      <c r="B45" s="45" t="s">
        <v>84</v>
      </c>
      <c r="C45" s="44" t="s">
        <v>101</v>
      </c>
    </row>
    <row r="46" spans="1:12">
      <c r="A46" s="28" t="s">
        <v>9</v>
      </c>
      <c r="B46" s="25" t="s">
        <v>72</v>
      </c>
      <c r="C46" s="18">
        <v>31</v>
      </c>
      <c r="D46" s="19"/>
      <c r="L46" s="20"/>
    </row>
    <row r="47" spans="1:12">
      <c r="A47" s="28" t="s">
        <v>11</v>
      </c>
      <c r="B47" s="28" t="s">
        <v>22</v>
      </c>
      <c r="C47" s="21">
        <v>74</v>
      </c>
      <c r="D47" s="19"/>
      <c r="L47" s="20"/>
    </row>
    <row r="48" spans="1:12">
      <c r="A48" s="28" t="s">
        <v>13</v>
      </c>
      <c r="B48" s="28" t="s">
        <v>56</v>
      </c>
      <c r="C48" s="21">
        <v>78</v>
      </c>
      <c r="D48" s="19"/>
      <c r="L48" s="20"/>
    </row>
    <row r="49" spans="1:12">
      <c r="A49" s="28" t="s">
        <v>15</v>
      </c>
      <c r="B49" s="28" t="s">
        <v>64</v>
      </c>
      <c r="C49" s="21">
        <v>80</v>
      </c>
      <c r="D49" s="19"/>
      <c r="L49" s="20"/>
    </row>
    <row r="50" spans="1:12">
      <c r="A50" s="28" t="s">
        <v>17</v>
      </c>
      <c r="B50" s="28" t="s">
        <v>34</v>
      </c>
      <c r="C50" s="21">
        <v>102</v>
      </c>
      <c r="D50" s="19"/>
      <c r="L50" s="20"/>
    </row>
    <row r="51" spans="1:12">
      <c r="A51" s="28" t="s">
        <v>19</v>
      </c>
      <c r="B51" s="28" t="s">
        <v>70</v>
      </c>
      <c r="C51" s="21">
        <v>105</v>
      </c>
      <c r="D51" s="19"/>
      <c r="L51" s="20"/>
    </row>
    <row r="52" spans="1:12">
      <c r="A52" s="28" t="s">
        <v>21</v>
      </c>
      <c r="B52" s="28" t="s">
        <v>28</v>
      </c>
      <c r="C52" s="21">
        <v>112</v>
      </c>
      <c r="D52" s="19"/>
      <c r="L52" s="20"/>
    </row>
    <row r="53" spans="1:12">
      <c r="A53" s="28" t="s">
        <v>23</v>
      </c>
      <c r="B53" s="28" t="s">
        <v>26</v>
      </c>
      <c r="C53" s="21">
        <v>128</v>
      </c>
      <c r="D53" s="19"/>
      <c r="L53" s="20"/>
    </row>
    <row r="54" spans="1:12">
      <c r="A54" s="28" t="s">
        <v>25</v>
      </c>
      <c r="B54" s="28" t="s">
        <v>58</v>
      </c>
      <c r="C54" s="21">
        <v>134</v>
      </c>
      <c r="D54" s="19"/>
      <c r="L54" s="20"/>
    </row>
    <row r="55" spans="1:12">
      <c r="A55" s="28" t="s">
        <v>27</v>
      </c>
      <c r="B55" s="28" t="s">
        <v>78</v>
      </c>
      <c r="C55" s="21">
        <v>161</v>
      </c>
      <c r="D55" s="19"/>
      <c r="L55" s="20"/>
    </row>
    <row r="56" spans="1:12">
      <c r="A56" s="28" t="s">
        <v>29</v>
      </c>
      <c r="B56" s="28" t="s">
        <v>44</v>
      </c>
      <c r="C56" s="21">
        <v>169</v>
      </c>
      <c r="D56" s="19"/>
      <c r="L56" s="20"/>
    </row>
    <row r="57" spans="1:12">
      <c r="A57" s="28" t="s">
        <v>31</v>
      </c>
      <c r="B57" s="28" t="s">
        <v>50</v>
      </c>
      <c r="C57" s="21">
        <v>171</v>
      </c>
      <c r="D57" s="19"/>
      <c r="L57" s="20"/>
    </row>
    <row r="58" spans="1:12">
      <c r="A58" s="28" t="s">
        <v>33</v>
      </c>
      <c r="B58" s="28" t="s">
        <v>74</v>
      </c>
      <c r="C58" s="21">
        <v>202</v>
      </c>
      <c r="D58" s="19"/>
      <c r="L58" s="20"/>
    </row>
    <row r="59" spans="1:12">
      <c r="A59" s="28" t="s">
        <v>35</v>
      </c>
      <c r="B59" s="28" t="s">
        <v>10</v>
      </c>
      <c r="C59" s="21">
        <v>210</v>
      </c>
      <c r="D59" s="19"/>
      <c r="L59" s="20"/>
    </row>
    <row r="60" spans="1:12">
      <c r="A60" s="28" t="s">
        <v>37</v>
      </c>
      <c r="B60" s="28" t="s">
        <v>54</v>
      </c>
      <c r="C60" s="21">
        <v>210</v>
      </c>
      <c r="D60" s="19"/>
      <c r="L60" s="20"/>
    </row>
    <row r="61" spans="1:12">
      <c r="A61" s="28" t="s">
        <v>39</v>
      </c>
      <c r="B61" s="28" t="s">
        <v>76</v>
      </c>
      <c r="C61" s="21">
        <v>215</v>
      </c>
      <c r="D61" s="19"/>
      <c r="L61" s="20"/>
    </row>
    <row r="62" spans="1:12">
      <c r="A62" s="28" t="s">
        <v>41</v>
      </c>
      <c r="B62" s="28" t="s">
        <v>24</v>
      </c>
      <c r="C62" s="21">
        <v>222</v>
      </c>
      <c r="D62" s="19"/>
      <c r="L62" s="20"/>
    </row>
    <row r="63" spans="1:12">
      <c r="A63" s="28" t="s">
        <v>43</v>
      </c>
      <c r="B63" s="28" t="s">
        <v>30</v>
      </c>
      <c r="C63" s="21">
        <v>225</v>
      </c>
      <c r="D63" s="19"/>
      <c r="L63" s="20"/>
    </row>
    <row r="64" spans="1:12">
      <c r="A64" s="28" t="s">
        <v>45</v>
      </c>
      <c r="B64" s="28" t="s">
        <v>12</v>
      </c>
      <c r="C64" s="21">
        <v>236</v>
      </c>
      <c r="D64" s="19"/>
      <c r="L64" s="20"/>
    </row>
    <row r="65" spans="1:12">
      <c r="A65" s="28" t="s">
        <v>47</v>
      </c>
      <c r="B65" s="28" t="s">
        <v>20</v>
      </c>
      <c r="C65" s="21">
        <v>241</v>
      </c>
      <c r="D65" s="19"/>
      <c r="L65" s="20"/>
    </row>
    <row r="66" spans="1:12">
      <c r="A66" s="28" t="s">
        <v>49</v>
      </c>
      <c r="B66" s="28" t="s">
        <v>14</v>
      </c>
      <c r="C66" s="21">
        <v>255</v>
      </c>
      <c r="D66" s="19"/>
      <c r="L66" s="20"/>
    </row>
    <row r="67" spans="1:12">
      <c r="A67" s="28" t="s">
        <v>51</v>
      </c>
      <c r="B67" s="28" t="s">
        <v>48</v>
      </c>
      <c r="C67" s="21">
        <v>310</v>
      </c>
      <c r="D67" s="19"/>
      <c r="L67" s="20"/>
    </row>
    <row r="68" spans="1:12">
      <c r="A68" s="28" t="s">
        <v>53</v>
      </c>
      <c r="B68" s="28" t="s">
        <v>42</v>
      </c>
      <c r="C68" s="21">
        <v>312</v>
      </c>
      <c r="D68" s="19"/>
      <c r="L68" s="20"/>
    </row>
    <row r="69" spans="1:12">
      <c r="A69" s="28" t="s">
        <v>55</v>
      </c>
      <c r="B69" s="28" t="s">
        <v>40</v>
      </c>
      <c r="C69" s="21">
        <v>321</v>
      </c>
      <c r="D69" s="19"/>
      <c r="L69" s="20"/>
    </row>
    <row r="70" spans="1:12">
      <c r="A70" s="28" t="s">
        <v>57</v>
      </c>
      <c r="B70" s="28" t="s">
        <v>52</v>
      </c>
      <c r="C70" s="21">
        <v>362</v>
      </c>
      <c r="D70" s="19"/>
      <c r="L70" s="20"/>
    </row>
    <row r="71" spans="1:12">
      <c r="A71" s="28" t="s">
        <v>59</v>
      </c>
      <c r="B71" s="28" t="s">
        <v>16</v>
      </c>
      <c r="C71" s="21">
        <v>370</v>
      </c>
      <c r="D71" s="19"/>
      <c r="L71" s="20"/>
    </row>
    <row r="72" spans="1:12">
      <c r="A72" s="28" t="s">
        <v>61</v>
      </c>
      <c r="B72" s="28" t="s">
        <v>32</v>
      </c>
      <c r="C72" s="21">
        <v>379</v>
      </c>
      <c r="D72" s="19"/>
      <c r="L72" s="20"/>
    </row>
    <row r="73" spans="1:12">
      <c r="A73" s="28" t="s">
        <v>63</v>
      </c>
      <c r="B73" s="28" t="s">
        <v>62</v>
      </c>
      <c r="C73" s="21">
        <v>463</v>
      </c>
      <c r="D73" s="19"/>
      <c r="L73" s="20"/>
    </row>
    <row r="74" spans="1:12">
      <c r="A74" s="28" t="s">
        <v>65</v>
      </c>
      <c r="B74" s="28" t="s">
        <v>38</v>
      </c>
      <c r="C74" s="21">
        <v>474</v>
      </c>
      <c r="D74" s="19"/>
      <c r="L74" s="20"/>
    </row>
    <row r="75" spans="1:12">
      <c r="A75" s="28" t="s">
        <v>67</v>
      </c>
      <c r="B75" s="28" t="s">
        <v>18</v>
      </c>
      <c r="C75" s="21">
        <v>503</v>
      </c>
      <c r="D75" s="19"/>
      <c r="L75" s="20"/>
    </row>
    <row r="76" spans="1:12">
      <c r="A76" s="28" t="s">
        <v>69</v>
      </c>
      <c r="B76" s="28" t="s">
        <v>66</v>
      </c>
      <c r="C76" s="21">
        <v>617</v>
      </c>
      <c r="D76" s="19"/>
      <c r="L76" s="20"/>
    </row>
    <row r="77" spans="1:12">
      <c r="A77" s="28" t="s">
        <v>71</v>
      </c>
      <c r="B77" s="28" t="s">
        <v>46</v>
      </c>
      <c r="C77" s="21">
        <v>633</v>
      </c>
      <c r="D77" s="19"/>
      <c r="L77" s="20"/>
    </row>
    <row r="78" spans="1:12">
      <c r="A78" s="28" t="s">
        <v>73</v>
      </c>
      <c r="B78" s="28" t="s">
        <v>36</v>
      </c>
      <c r="C78" s="21">
        <v>678</v>
      </c>
      <c r="D78" s="19"/>
      <c r="L78" s="20"/>
    </row>
    <row r="79" spans="1:12">
      <c r="A79" s="28" t="s">
        <v>75</v>
      </c>
      <c r="B79" s="28" t="s">
        <v>68</v>
      </c>
      <c r="C79" s="21">
        <v>915</v>
      </c>
      <c r="D79" s="19"/>
      <c r="L79" s="20"/>
    </row>
    <row r="80" spans="1:12">
      <c r="A80" s="28" t="s">
        <v>77</v>
      </c>
      <c r="B80" s="36" t="s">
        <v>60</v>
      </c>
      <c r="C80" s="22">
        <v>1700</v>
      </c>
      <c r="D80" s="19"/>
      <c r="L80" s="20"/>
    </row>
    <row r="81" spans="1:12">
      <c r="A81" s="46" t="s">
        <v>79</v>
      </c>
      <c r="B81" s="13" t="s">
        <v>80</v>
      </c>
      <c r="C81" s="41">
        <v>246</v>
      </c>
      <c r="E81" s="17" t="s">
        <v>82</v>
      </c>
      <c r="L81" s="20"/>
    </row>
    <row r="82" spans="1:12">
      <c r="A82" s="51"/>
      <c r="B82" s="52" t="s">
        <v>81</v>
      </c>
      <c r="C82" s="49">
        <f>SUM(C46:C81)</f>
        <v>11644</v>
      </c>
      <c r="D82" s="19"/>
    </row>
    <row r="83" spans="1:12">
      <c r="A83" s="17" t="s">
        <v>82</v>
      </c>
      <c r="B83" s="17"/>
    </row>
    <row r="85" spans="1:12" ht="18.75">
      <c r="A85" s="4" t="s">
        <v>85</v>
      </c>
    </row>
    <row r="86" spans="1:12" ht="30">
      <c r="A86" s="44" t="s">
        <v>4</v>
      </c>
      <c r="B86" s="45" t="s">
        <v>84</v>
      </c>
      <c r="C86" s="44" t="s">
        <v>103</v>
      </c>
    </row>
    <row r="87" spans="1:12">
      <c r="A87" s="25" t="s">
        <v>9</v>
      </c>
      <c r="B87" s="34" t="s">
        <v>78</v>
      </c>
      <c r="C87" s="26">
        <v>11.072902338376892</v>
      </c>
      <c r="D87" s="27"/>
    </row>
    <row r="88" spans="1:12">
      <c r="A88" s="28" t="s">
        <v>11</v>
      </c>
      <c r="B88" s="35" t="s">
        <v>42</v>
      </c>
      <c r="C88" s="29">
        <v>11.481985794722704</v>
      </c>
      <c r="D88" s="27"/>
    </row>
    <row r="89" spans="1:12">
      <c r="A89" s="28" t="s">
        <v>13</v>
      </c>
      <c r="B89" s="35" t="s">
        <v>16</v>
      </c>
      <c r="C89" s="29">
        <v>12.035260059200468</v>
      </c>
      <c r="D89" s="27"/>
    </row>
    <row r="90" spans="1:12">
      <c r="A90" s="28" t="s">
        <v>15</v>
      </c>
      <c r="B90" s="35" t="s">
        <v>48</v>
      </c>
      <c r="C90" s="29">
        <v>12.721602101116218</v>
      </c>
      <c r="D90" s="27"/>
    </row>
    <row r="91" spans="1:12">
      <c r="A91" s="28" t="s">
        <v>17</v>
      </c>
      <c r="B91" s="35" t="s">
        <v>72</v>
      </c>
      <c r="C91" s="29">
        <v>13.052631578947368</v>
      </c>
      <c r="D91" s="27"/>
    </row>
    <row r="92" spans="1:12">
      <c r="A92" s="28" t="s">
        <v>19</v>
      </c>
      <c r="B92" s="35" t="s">
        <v>58</v>
      </c>
      <c r="C92" s="29">
        <v>13.977260874100343</v>
      </c>
      <c r="D92" s="27"/>
    </row>
    <row r="93" spans="1:12">
      <c r="A93" s="28" t="s">
        <v>21</v>
      </c>
      <c r="B93" s="35" t="s">
        <v>56</v>
      </c>
      <c r="C93" s="29">
        <v>15.336217066456939</v>
      </c>
      <c r="D93" s="27"/>
    </row>
    <row r="94" spans="1:12">
      <c r="A94" s="28" t="s">
        <v>23</v>
      </c>
      <c r="B94" s="35" t="s">
        <v>62</v>
      </c>
      <c r="C94" s="29">
        <v>15.511407417333913</v>
      </c>
      <c r="D94" s="27"/>
    </row>
    <row r="95" spans="1:12">
      <c r="A95" s="28" t="s">
        <v>25</v>
      </c>
      <c r="B95" s="35" t="s">
        <v>74</v>
      </c>
      <c r="C95" s="29">
        <v>16.321913380736913</v>
      </c>
      <c r="D95" s="27"/>
    </row>
    <row r="96" spans="1:12">
      <c r="A96" s="28" t="s">
        <v>27</v>
      </c>
      <c r="B96" s="35" t="s">
        <v>76</v>
      </c>
      <c r="C96" s="29">
        <v>17.274626385987464</v>
      </c>
      <c r="D96" s="27"/>
    </row>
    <row r="97" spans="1:4">
      <c r="A97" s="28" t="s">
        <v>29</v>
      </c>
      <c r="B97" s="35" t="s">
        <v>40</v>
      </c>
      <c r="C97" s="29">
        <v>19.757493691142979</v>
      </c>
      <c r="D97" s="27"/>
    </row>
    <row r="98" spans="1:4">
      <c r="A98" s="28" t="s">
        <v>31</v>
      </c>
      <c r="B98" s="35" t="s">
        <v>18</v>
      </c>
      <c r="C98" s="29">
        <v>20.693627350146048</v>
      </c>
      <c r="D98" s="27"/>
    </row>
    <row r="99" spans="1:4">
      <c r="A99" s="10" t="s">
        <v>33</v>
      </c>
      <c r="B99" s="35" t="s">
        <v>64</v>
      </c>
      <c r="C99" s="29">
        <v>21.008403361344538</v>
      </c>
      <c r="D99" s="27"/>
    </row>
    <row r="100" spans="1:4">
      <c r="A100" s="28" t="s">
        <v>35</v>
      </c>
      <c r="B100" s="35" t="s">
        <v>26</v>
      </c>
      <c r="C100" s="29">
        <v>21.150033046926634</v>
      </c>
      <c r="D100" s="27"/>
    </row>
    <row r="101" spans="1:4">
      <c r="A101" s="28" t="s">
        <v>37</v>
      </c>
      <c r="B101" s="35" t="s">
        <v>54</v>
      </c>
      <c r="C101" s="29">
        <v>22.4</v>
      </c>
      <c r="D101" s="27"/>
    </row>
    <row r="102" spans="1:4">
      <c r="A102" s="28" t="s">
        <v>39</v>
      </c>
      <c r="B102" s="35" t="s">
        <v>20</v>
      </c>
      <c r="C102" s="29">
        <v>23.128598848368522</v>
      </c>
      <c r="D102" s="27"/>
    </row>
    <row r="103" spans="1:4">
      <c r="A103" s="28" t="s">
        <v>41</v>
      </c>
      <c r="B103" s="35" t="s">
        <v>14</v>
      </c>
      <c r="C103" s="29">
        <v>23.313219967087218</v>
      </c>
      <c r="D103" s="27"/>
    </row>
    <row r="104" spans="1:4">
      <c r="A104" s="28" t="s">
        <v>43</v>
      </c>
      <c r="B104" s="35" t="s">
        <v>32</v>
      </c>
      <c r="C104" s="29">
        <v>25.926939389793404</v>
      </c>
      <c r="D104" s="27"/>
    </row>
    <row r="105" spans="1:4">
      <c r="A105" s="28" t="s">
        <v>45</v>
      </c>
      <c r="B105" s="35" t="s">
        <v>30</v>
      </c>
      <c r="C105" s="29">
        <v>26.580035440047254</v>
      </c>
      <c r="D105" s="27"/>
    </row>
    <row r="106" spans="1:4">
      <c r="A106" s="28" t="s">
        <v>47</v>
      </c>
      <c r="B106" s="35" t="s">
        <v>66</v>
      </c>
      <c r="C106" s="29">
        <v>28.501478196600146</v>
      </c>
      <c r="D106" s="27"/>
    </row>
    <row r="107" spans="1:4">
      <c r="A107" s="28" t="s">
        <v>49</v>
      </c>
      <c r="B107" s="35" t="s">
        <v>52</v>
      </c>
      <c r="C107" s="29">
        <v>29.022689008257835</v>
      </c>
      <c r="D107" s="27"/>
    </row>
    <row r="108" spans="1:4">
      <c r="A108" s="28" t="s">
        <v>51</v>
      </c>
      <c r="B108" s="35" t="s">
        <v>36</v>
      </c>
      <c r="C108" s="29">
        <v>29.781252745321972</v>
      </c>
      <c r="D108" s="27"/>
    </row>
    <row r="109" spans="1:4">
      <c r="A109" s="28" t="s">
        <v>53</v>
      </c>
      <c r="B109" s="35" t="s">
        <v>12</v>
      </c>
      <c r="C109" s="29">
        <v>31.694869728713403</v>
      </c>
      <c r="D109" s="27"/>
    </row>
    <row r="110" spans="1:4">
      <c r="A110" s="28" t="s">
        <v>55</v>
      </c>
      <c r="B110" s="35" t="s">
        <v>70</v>
      </c>
      <c r="C110" s="29">
        <v>32.258064516129032</v>
      </c>
      <c r="D110" s="27"/>
    </row>
    <row r="111" spans="1:4">
      <c r="A111" s="28" t="s">
        <v>57</v>
      </c>
      <c r="B111" s="35" t="s">
        <v>34</v>
      </c>
      <c r="C111" s="29">
        <v>35.714285714285715</v>
      </c>
      <c r="D111" s="27"/>
    </row>
    <row r="112" spans="1:4">
      <c r="A112" s="28" t="s">
        <v>59</v>
      </c>
      <c r="B112" s="35" t="s">
        <v>38</v>
      </c>
      <c r="C112" s="29">
        <v>37.308146399055488</v>
      </c>
      <c r="D112" s="27"/>
    </row>
    <row r="113" spans="1:5">
      <c r="A113" s="28" t="s">
        <v>61</v>
      </c>
      <c r="B113" s="35" t="s">
        <v>46</v>
      </c>
      <c r="C113" s="29">
        <v>42.449034334763951</v>
      </c>
      <c r="D113" s="27"/>
    </row>
    <row r="114" spans="1:5">
      <c r="A114" s="28" t="s">
        <v>63</v>
      </c>
      <c r="B114" s="35" t="s">
        <v>68</v>
      </c>
      <c r="C114" s="29">
        <v>43.969245555021622</v>
      </c>
      <c r="D114" s="27"/>
    </row>
    <row r="115" spans="1:5">
      <c r="A115" s="28" t="s">
        <v>65</v>
      </c>
      <c r="B115" s="35" t="s">
        <v>22</v>
      </c>
      <c r="C115" s="29">
        <v>44.551475015051174</v>
      </c>
      <c r="D115" s="27"/>
    </row>
    <row r="116" spans="1:5">
      <c r="A116" s="28" t="s">
        <v>67</v>
      </c>
      <c r="B116" s="35" t="s">
        <v>44</v>
      </c>
      <c r="C116" s="29">
        <v>47.140864714086469</v>
      </c>
      <c r="D116" s="27"/>
    </row>
    <row r="117" spans="1:5">
      <c r="A117" s="10" t="s">
        <v>69</v>
      </c>
      <c r="B117" s="27" t="s">
        <v>28</v>
      </c>
      <c r="C117" s="29">
        <v>49.165935030728711</v>
      </c>
      <c r="D117" s="27"/>
    </row>
    <row r="118" spans="1:5">
      <c r="A118" s="28" t="s">
        <v>71</v>
      </c>
      <c r="B118" s="35" t="s">
        <v>10</v>
      </c>
      <c r="C118" s="29">
        <v>49.727681742836843</v>
      </c>
      <c r="D118" s="27"/>
    </row>
    <row r="119" spans="1:5">
      <c r="A119" s="28" t="s">
        <v>73</v>
      </c>
      <c r="B119" s="35" t="s">
        <v>60</v>
      </c>
      <c r="C119" s="29">
        <v>72.761513439479529</v>
      </c>
      <c r="D119" s="27"/>
    </row>
    <row r="120" spans="1:5">
      <c r="A120" s="28" t="s">
        <v>75</v>
      </c>
      <c r="B120" s="35" t="s">
        <v>24</v>
      </c>
      <c r="C120" s="29">
        <v>84.668192219679639</v>
      </c>
      <c r="D120" s="27"/>
    </row>
    <row r="121" spans="1:5">
      <c r="A121" s="28" t="s">
        <v>77</v>
      </c>
      <c r="B121" s="35" t="s">
        <v>50</v>
      </c>
      <c r="C121" s="33">
        <v>179.24528301886792</v>
      </c>
      <c r="D121" s="27"/>
    </row>
    <row r="122" spans="1:5">
      <c r="A122" s="31"/>
      <c r="B122" s="57"/>
      <c r="C122" s="57"/>
      <c r="E122" s="17" t="s">
        <v>82</v>
      </c>
    </row>
    <row r="123" spans="1:5">
      <c r="A123" s="51"/>
      <c r="B123" s="53" t="s">
        <v>81</v>
      </c>
      <c r="C123" s="64">
        <v>27.058241214321068</v>
      </c>
      <c r="D123" s="19"/>
    </row>
    <row r="124" spans="1:5">
      <c r="A124" s="17" t="s">
        <v>82</v>
      </c>
    </row>
    <row r="128" spans="1:5" ht="90.6" customHeight="1"/>
  </sheetData>
  <dataConsolidate/>
  <conditionalFormatting sqref="D12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7:D121 C122">
    <cfRule type="colorScale" priority="4">
      <colorScale>
        <cfvo type="min"/>
        <cfvo type="percentile" val="50"/>
        <cfvo type="max"/>
        <color theme="3" tint="9.9978637043366805E-2"/>
        <color theme="3" tint="0.89999084444715716"/>
        <color rgb="FFFF0000"/>
      </colorScale>
    </cfRule>
  </conditionalFormatting>
  <conditionalFormatting sqref="D8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6:D80">
    <cfRule type="colorScale" priority="2">
      <colorScale>
        <cfvo type="min"/>
        <cfvo type="percentile" val="50"/>
        <cfvo type="max"/>
        <color theme="3" tint="0.249977111117893"/>
        <color theme="3" tint="0.89999084444715716"/>
        <color rgb="FFFF0000"/>
      </colorScale>
    </cfRule>
  </conditionalFormatting>
  <hyperlinks>
    <hyperlink ref="A3:B3" location="UWAGA!A1" display="UWAGA: wyjaśnienia metodologiczne" xr:uid="{19EEF7B8-47D6-4F15-B320-FC74BFB47235}"/>
  </hyperlinks>
  <pageMargins left="0.31496062992125984" right="0.31496062992125984" top="0.74803149606299213" bottom="0.74803149606299213" header="0.31496062992125984" footer="0.31496062992125984"/>
  <pageSetup paperSize="9" scale="49" orientation="landscape" r:id="rId1"/>
  <headerFooter>
    <oddHeader>&amp;LGDAŃSK W LICZBACH / BEZPIECZEŃSTWO
&amp;F&amp;R&amp;D</oddHeader>
    <oddFooter>&amp;L&amp;"-,Kursywa"&amp;8Opracowanie: Referat Badań i Analiz Społeczno-Gospodarczych, WPG, UMG&amp;R&amp;"-,Kursywa"&amp;8www.gdansk.pl/gdanskwliczbach</oddFooter>
  </headerFooter>
  <rowBreaks count="4" manualBreakCount="4">
    <brk id="1" max="16383" man="1"/>
    <brk id="42" max="16383" man="1"/>
    <brk id="83" max="16383" man="1"/>
    <brk id="124" max="16383" man="1"/>
  </rowBreaks>
  <colBreaks count="1" manualBreakCount="1">
    <brk id="25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SharedWithUsers xmlns="9ffc8a47-e4c5-4f50-b39c-21821424651f">
      <UserInfo>
        <DisplayName>Tomasik-Mejsner Barbara</DisplayName>
        <AccountId>638</AccountId>
        <AccountType/>
      </UserInfo>
      <UserInfo>
        <DisplayName>Miguła Michał</DisplayName>
        <AccountId>683</AccountId>
        <AccountType/>
      </UserInfo>
      <UserInfo>
        <DisplayName>Stelmak Sandra</DisplayName>
        <AccountId>860</AccountId>
        <AccountType/>
      </UserInfo>
      <UserInfo>
        <DisplayName>Betlej Sylwia</DisplayName>
        <AccountId>863</AccountId>
        <AccountType/>
      </UserInfo>
      <UserInfo>
        <DisplayName>Hrynkiewicz Marcin</DisplayName>
        <AccountId>15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F407FFAFC7E1D4192DD96CF938D08FF" ma:contentTypeVersion="8" ma:contentTypeDescription="Utwórz nowy dokument." ma:contentTypeScope="" ma:versionID="746e4984f3a17911c06667692f0b81bf">
  <xsd:schema xmlns:xsd="http://www.w3.org/2001/XMLSchema" xmlns:xs="http://www.w3.org/2001/XMLSchema" xmlns:p="http://schemas.microsoft.com/office/2006/metadata/properties" xmlns:ns1="http://schemas.microsoft.com/sharepoint/v3" xmlns:ns2="6d60533f-28fd-41d9-b9cc-afea75d90f4c" xmlns:ns3="9ffc8a47-e4c5-4f50-b39c-21821424651f" targetNamespace="http://schemas.microsoft.com/office/2006/metadata/properties" ma:root="true" ma:fieldsID="04d0f8abad7aa9f279428587642b95af" ns1:_="" ns2:_="" ns3:_="">
    <xsd:import namespace="http://schemas.microsoft.com/sharepoint/v3"/>
    <xsd:import namespace="6d60533f-28fd-41d9-b9cc-afea75d90f4c"/>
    <xsd:import namespace="9ffc8a47-e4c5-4f50-b39c-2182142465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Właściwości ujednoliconych zasad zgodności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kcja interfejsu użytkownika ujednoliconych zasad zgodnośc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0533f-28fd-41d9-b9cc-afea75d90f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fc8a47-e4c5-4f50-b39c-21821424651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0A3F4A-29B4-4DFC-8B82-20E42305074E}"/>
</file>

<file path=customXml/itemProps2.xml><?xml version="1.0" encoding="utf-8"?>
<ds:datastoreItem xmlns:ds="http://schemas.openxmlformats.org/officeDocument/2006/customXml" ds:itemID="{ED079481-96F1-4221-B4DB-3CE3D6DD88DB}"/>
</file>

<file path=customXml/itemProps3.xml><?xml version="1.0" encoding="utf-8"?>
<ds:datastoreItem xmlns:ds="http://schemas.openxmlformats.org/officeDocument/2006/customXml" ds:itemID="{71675ED2-42F0-41BD-A044-F7405C0875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06.1. Liczba przestępstw w podziale na dzielnice</dc:title>
  <dc:subject/>
  <dc:creator>RBiASG, WPG, UMG</dc:creator>
  <cp:keywords/>
  <dc:description/>
  <cp:lastModifiedBy/>
  <cp:revision/>
  <dcterms:created xsi:type="dcterms:W3CDTF">2006-09-22T13:37:51Z</dcterms:created>
  <dcterms:modified xsi:type="dcterms:W3CDTF">2026-03-07T18:56:16Z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0x0101003F407FFAFC7E1D4192DD96CF938D08FF</vt:lpwstr>
  </property>
</Properties>
</file>